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IM\"/>
    </mc:Choice>
  </mc:AlternateContent>
  <xr:revisionPtr revIDLastSave="0" documentId="13_ncr:1_{622EDA86-2B6F-456D-AD71-E0FB3C7D0E81}" xr6:coauthVersionLast="36" xr6:coauthVersionMax="45" xr10:uidLastSave="{00000000-0000-0000-0000-000000000000}"/>
  <bookViews>
    <workbookView xWindow="0" yWindow="0" windowWidth="20490" windowHeight="7545" tabRatio="199" xr2:uid="{D1FA8983-C387-4615-8741-7F1F83A84102}"/>
  </bookViews>
  <sheets>
    <sheet name="Base" sheetId="1" r:id="rId1"/>
    <sheet name="Gestão" sheetId="5" r:id="rId2"/>
    <sheet name="Cabeçalho" sheetId="2" r:id="rId3"/>
  </sheets>
  <definedNames>
    <definedName name="bebidasTexto_1" localSheetId="0">Base!$T$1:$X$2</definedName>
    <definedName name="bebidasTexto_10" localSheetId="0">Base!$T$1:$X$4</definedName>
    <definedName name="bebidasTexto_11" localSheetId="0">Base!$T$1:$X$4</definedName>
    <definedName name="bebidasTexto_12" localSheetId="0">Base!$T$1:$X$2</definedName>
    <definedName name="bebidasTexto_13" localSheetId="0">Base!$T$1:$X$2</definedName>
    <definedName name="bebidasTexto_2" localSheetId="0">Base!$T$1:$X$2</definedName>
    <definedName name="bebidasTexto_3" localSheetId="0">Base!$T$1:$X$2</definedName>
    <definedName name="bebidasTexto_4" localSheetId="0">Base!$T$1:$X$2</definedName>
    <definedName name="bebidasTexto_5" localSheetId="0">Base!$T$1:$X$3</definedName>
    <definedName name="bebidasTexto_6" localSheetId="0">Base!$T$1:$X$3</definedName>
    <definedName name="bebidasTexto_7" localSheetId="0">Base!$T$1:$X$3</definedName>
    <definedName name="bebidasTexto_8" localSheetId="0">Base!$T$1:$X$3</definedName>
    <definedName name="bebidasTexto_9" localSheetId="0">Base!$T$1:$X$4</definedName>
    <definedName name="Cabeçario">Cabeçalho!$C$2:$C$7</definedName>
    <definedName name="Codigo">Cabeçalho!$D$3:$D$5</definedName>
    <definedName name="Nome_do_Arquivo">Cabeçalho!$A$2</definedName>
    <definedName name="pizzasTexto" localSheetId="0">Base!$A$1:$F$3</definedName>
    <definedName name="pizzasTexto_1" localSheetId="0">Base!$A$1:$F$3</definedName>
    <definedName name="pizzasTexto_10" localSheetId="0">Base!$A$1:$F$4</definedName>
    <definedName name="pizzasTexto_11" localSheetId="0">Base!$A$1:$F$4</definedName>
    <definedName name="pizzasTexto_12" localSheetId="0">Base!$A$1:$F$4</definedName>
    <definedName name="pizzasTexto_13" localSheetId="0">Base!$A$1:$F$4</definedName>
    <definedName name="pizzasTexto_14" localSheetId="0">Base!$A$1:$F$4</definedName>
    <definedName name="pizzasTexto_15" localSheetId="0">Base!$A$1:$F$4</definedName>
    <definedName name="pizzasTexto_16" localSheetId="0">Base!$A$1:$F$4</definedName>
    <definedName name="pizzasTexto_17" localSheetId="0">Base!$A$1:$F$4</definedName>
    <definedName name="pizzasTexto_18" localSheetId="0">Base!$A$1:$F$4</definedName>
    <definedName name="pizzasTexto_19" localSheetId="0">Base!$A$1:$F$4</definedName>
    <definedName name="pizzasTexto_2" localSheetId="0">Base!$A$1:$F$3</definedName>
    <definedName name="pizzasTexto_20" localSheetId="0">Base!$A$1:$F$4</definedName>
    <definedName name="pizzasTexto_21" localSheetId="0">Base!$A$1:$F$4</definedName>
    <definedName name="pizzasTexto_22" localSheetId="0">Base!$A$1:$F$4</definedName>
    <definedName name="pizzasTexto_23" localSheetId="0">Base!$A$1:$F$4</definedName>
    <definedName name="pizzasTexto_24" localSheetId="0">Base!$A$1:$F$4</definedName>
    <definedName name="pizzasTexto_25" localSheetId="0">Base!$A$1:$F$4</definedName>
    <definedName name="pizzasTexto_26" localSheetId="0">Base!$A$1:$F$4</definedName>
    <definedName name="pizzasTexto_27" localSheetId="0">Base!$A$1:$F$4</definedName>
    <definedName name="pizzasTexto_28" localSheetId="0">Base!$A$1:$F$4</definedName>
    <definedName name="pizzasTexto_29" localSheetId="0">Base!$A$1:$F$4</definedName>
    <definedName name="pizzasTexto_3" localSheetId="0">Base!$A$1:$F$3</definedName>
    <definedName name="pizzasTexto_30" localSheetId="0">Base!$A$1:$F$4</definedName>
    <definedName name="pizzasTexto_31" localSheetId="0">Base!$A$1:$F$4</definedName>
    <definedName name="pizzasTexto_32" localSheetId="0">Base!$A$1:$F$4</definedName>
    <definedName name="pizzasTexto_33" localSheetId="0">Base!$A$1:$F$4</definedName>
    <definedName name="pizzasTexto_34" localSheetId="0">Base!$A$1:$F$4</definedName>
    <definedName name="pizzasTexto_35" localSheetId="0">Base!$A$1:$F$4</definedName>
    <definedName name="pizzasTexto_36" localSheetId="0">Base!$A$1:$F$4</definedName>
    <definedName name="pizzasTexto_37" localSheetId="0">Base!$A$1:$F$4</definedName>
    <definedName name="pizzasTexto_38" localSheetId="0">Base!$A$1:$F$4</definedName>
    <definedName name="pizzasTexto_39" localSheetId="0">Base!$A$1:$F$4</definedName>
    <definedName name="pizzasTexto_4" localSheetId="0">Base!$A$1:$F$4</definedName>
    <definedName name="pizzasTexto_40" localSheetId="0">Base!$A$1:$F$4</definedName>
    <definedName name="pizzasTexto_41" localSheetId="0">Base!$A$1:$F$4</definedName>
    <definedName name="pizzasTexto_42" localSheetId="0">Base!$A$1:$F$4</definedName>
    <definedName name="pizzasTexto_43" localSheetId="0">Base!$A$1:$F$4</definedName>
    <definedName name="pizzasTexto_44" localSheetId="0">Base!$A$1:$F$4</definedName>
    <definedName name="pizzasTexto_45" localSheetId="0">Base!$A$1:$F$4</definedName>
    <definedName name="pizzasTexto_46" localSheetId="0">Base!$A$1:$F$4</definedName>
    <definedName name="pizzasTexto_47" localSheetId="0">Base!$A$1:$F$4</definedName>
    <definedName name="pizzasTexto_48" localSheetId="0">Base!$A$1:$F$4</definedName>
    <definedName name="pizzasTexto_49" localSheetId="0">Base!$A$1:$F$4</definedName>
    <definedName name="pizzasTexto_5" localSheetId="0">Base!$A$1:$F$4</definedName>
    <definedName name="pizzasTexto_50" localSheetId="0">Base!$A$1:$F$3</definedName>
    <definedName name="pizzasTexto_51" localSheetId="0">Base!$A$1:$F$3</definedName>
    <definedName name="pizzasTexto_6" localSheetId="0">Base!$A$1:$F$4</definedName>
    <definedName name="pizzasTexto_7" localSheetId="0">Base!$A$1:$F$4</definedName>
    <definedName name="pizzasTexto_8" localSheetId="0">Base!$A$1:$F$4</definedName>
    <definedName name="pizzasTexto_9" localSheetId="0">Base!$A$1:$F$4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4" i="5" l="1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F26" i="5"/>
  <c r="O44" i="5"/>
  <c r="P44" i="5" s="1"/>
  <c r="I44" i="5" s="1"/>
  <c r="O43" i="5"/>
  <c r="P43" i="5" s="1"/>
  <c r="I43" i="5" s="1"/>
  <c r="O42" i="5"/>
  <c r="P42" i="5" s="1"/>
  <c r="I42" i="5" s="1"/>
  <c r="O41" i="5"/>
  <c r="P41" i="5" s="1"/>
  <c r="I41" i="5" s="1"/>
  <c r="O40" i="5"/>
  <c r="P40" i="5" s="1"/>
  <c r="I40" i="5" s="1"/>
  <c r="O39" i="5"/>
  <c r="P39" i="5" s="1"/>
  <c r="I39" i="5" s="1"/>
  <c r="O38" i="5"/>
  <c r="P38" i="5" s="1"/>
  <c r="I38" i="5" s="1"/>
  <c r="O37" i="5"/>
  <c r="P37" i="5" s="1"/>
  <c r="I37" i="5" s="1"/>
  <c r="O36" i="5"/>
  <c r="P36" i="5" s="1"/>
  <c r="I36" i="5" s="1"/>
  <c r="O35" i="5"/>
  <c r="P35" i="5" s="1"/>
  <c r="I35" i="5" s="1"/>
  <c r="O34" i="5"/>
  <c r="P34" i="5" s="1"/>
  <c r="I34" i="5" s="1"/>
  <c r="O33" i="5"/>
  <c r="P33" i="5" s="1"/>
  <c r="I33" i="5" s="1"/>
  <c r="O32" i="5"/>
  <c r="P32" i="5" s="1"/>
  <c r="I32" i="5" s="1"/>
  <c r="O31" i="5"/>
  <c r="P31" i="5" s="1"/>
  <c r="I31" i="5" s="1"/>
  <c r="O30" i="5"/>
  <c r="P30" i="5" s="1"/>
  <c r="I30" i="5" s="1"/>
  <c r="O29" i="5"/>
  <c r="P29" i="5" s="1"/>
  <c r="I29" i="5" s="1"/>
  <c r="O28" i="5"/>
  <c r="P28" i="5" s="1"/>
  <c r="I28" i="5" s="1"/>
  <c r="O27" i="5"/>
  <c r="P27" i="5" s="1"/>
  <c r="O26" i="5"/>
  <c r="P26" i="5" s="1"/>
  <c r="O25" i="5"/>
  <c r="P25" i="5" s="1"/>
  <c r="H44" i="5"/>
  <c r="B44" i="5" s="1"/>
  <c r="A44" i="5" s="1"/>
  <c r="H43" i="5"/>
  <c r="B43" i="5" s="1"/>
  <c r="A43" i="5" s="1"/>
  <c r="H42" i="5"/>
  <c r="E42" i="5" s="1"/>
  <c r="H41" i="5"/>
  <c r="E41" i="5" s="1"/>
  <c r="H40" i="5"/>
  <c r="B40" i="5" s="1"/>
  <c r="A40" i="5" s="1"/>
  <c r="H39" i="5"/>
  <c r="B39" i="5" s="1"/>
  <c r="A39" i="5" s="1"/>
  <c r="H38" i="5"/>
  <c r="E38" i="5" s="1"/>
  <c r="H37" i="5"/>
  <c r="E37" i="5" s="1"/>
  <c r="H36" i="5"/>
  <c r="B36" i="5" s="1"/>
  <c r="A36" i="5" s="1"/>
  <c r="H35" i="5"/>
  <c r="B35" i="5" s="1"/>
  <c r="A35" i="5" s="1"/>
  <c r="H34" i="5"/>
  <c r="E34" i="5" s="1"/>
  <c r="H33" i="5"/>
  <c r="E33" i="5" s="1"/>
  <c r="H32" i="5"/>
  <c r="B32" i="5" s="1"/>
  <c r="A32" i="5" s="1"/>
  <c r="H31" i="5"/>
  <c r="B31" i="5" s="1"/>
  <c r="A31" i="5" s="1"/>
  <c r="H30" i="5"/>
  <c r="E30" i="5" s="1"/>
  <c r="H29" i="5"/>
  <c r="E29" i="5" s="1"/>
  <c r="H28" i="5"/>
  <c r="B28" i="5" s="1"/>
  <c r="A28" i="5" s="1"/>
  <c r="H27" i="5"/>
  <c r="B27" i="5" s="1"/>
  <c r="H26" i="5"/>
  <c r="E26" i="5" s="1"/>
  <c r="H25" i="5"/>
  <c r="B25" i="5" s="1"/>
  <c r="K44" i="5"/>
  <c r="L44" i="5" s="1"/>
  <c r="K43" i="5"/>
  <c r="L43" i="5" s="1"/>
  <c r="K42" i="5"/>
  <c r="L42" i="5" s="1"/>
  <c r="K41" i="5"/>
  <c r="L41" i="5" s="1"/>
  <c r="K40" i="5"/>
  <c r="L40" i="5" s="1"/>
  <c r="K39" i="5"/>
  <c r="L39" i="5" s="1"/>
  <c r="K38" i="5"/>
  <c r="L38" i="5" s="1"/>
  <c r="K37" i="5"/>
  <c r="L37" i="5" s="1"/>
  <c r="K36" i="5"/>
  <c r="L36" i="5" s="1"/>
  <c r="K35" i="5"/>
  <c r="L35" i="5" s="1"/>
  <c r="K34" i="5"/>
  <c r="L34" i="5" s="1"/>
  <c r="K33" i="5"/>
  <c r="L33" i="5" s="1"/>
  <c r="K32" i="5"/>
  <c r="L32" i="5" s="1"/>
  <c r="K31" i="5"/>
  <c r="L31" i="5" s="1"/>
  <c r="K30" i="5"/>
  <c r="L30" i="5" s="1"/>
  <c r="K29" i="5"/>
  <c r="L29" i="5" s="1"/>
  <c r="K28" i="5"/>
  <c r="L28" i="5" s="1"/>
  <c r="K27" i="5"/>
  <c r="L27" i="5" s="1"/>
  <c r="K26" i="5"/>
  <c r="L26" i="5" s="1"/>
  <c r="K25" i="5"/>
  <c r="L25" i="5" s="1"/>
  <c r="F44" i="5"/>
  <c r="F43" i="5"/>
  <c r="F42" i="5"/>
  <c r="G42" i="5" s="1"/>
  <c r="F41" i="5"/>
  <c r="G41" i="5" s="1"/>
  <c r="F40" i="5"/>
  <c r="F39" i="5"/>
  <c r="F38" i="5"/>
  <c r="G38" i="5" s="1"/>
  <c r="F37" i="5"/>
  <c r="F36" i="5"/>
  <c r="F35" i="5"/>
  <c r="F34" i="5"/>
  <c r="G34" i="5" s="1"/>
  <c r="F33" i="5"/>
  <c r="G33" i="5" s="1"/>
  <c r="F32" i="5"/>
  <c r="F31" i="5"/>
  <c r="F30" i="5"/>
  <c r="G30" i="5" s="1"/>
  <c r="F29" i="5"/>
  <c r="F28" i="5"/>
  <c r="F27" i="5"/>
  <c r="F2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G29" i="5" l="1"/>
  <c r="I25" i="5"/>
  <c r="I26" i="5"/>
  <c r="I27" i="5"/>
  <c r="E27" i="5"/>
  <c r="G27" i="5" s="1"/>
  <c r="E39" i="5"/>
  <c r="G39" i="5" s="1"/>
  <c r="E43" i="5"/>
  <c r="G43" i="5" s="1"/>
  <c r="N31" i="5"/>
  <c r="N39" i="5"/>
  <c r="N27" i="5"/>
  <c r="N35" i="5"/>
  <c r="N43" i="5"/>
  <c r="E31" i="5"/>
  <c r="G31" i="5" s="1"/>
  <c r="E35" i="5"/>
  <c r="G35" i="5" s="1"/>
  <c r="G37" i="5"/>
  <c r="K6" i="5"/>
  <c r="N25" i="5"/>
  <c r="N29" i="5"/>
  <c r="N33" i="5"/>
  <c r="N37" i="5"/>
  <c r="N41" i="5"/>
  <c r="N26" i="5"/>
  <c r="N30" i="5"/>
  <c r="N34" i="5"/>
  <c r="N38" i="5"/>
  <c r="N42" i="5"/>
  <c r="N28" i="5"/>
  <c r="N32" i="5"/>
  <c r="N36" i="5"/>
  <c r="N40" i="5"/>
  <c r="N44" i="5"/>
  <c r="B29" i="5"/>
  <c r="A29" i="5" s="1"/>
  <c r="B33" i="5"/>
  <c r="A33" i="5" s="1"/>
  <c r="B37" i="5"/>
  <c r="A37" i="5" s="1"/>
  <c r="B41" i="5"/>
  <c r="A41" i="5" s="1"/>
  <c r="B26" i="5"/>
  <c r="B30" i="5"/>
  <c r="A30" i="5" s="1"/>
  <c r="B34" i="5"/>
  <c r="A34" i="5" s="1"/>
  <c r="B38" i="5"/>
  <c r="A38" i="5" s="1"/>
  <c r="B42" i="5"/>
  <c r="A42" i="5" s="1"/>
  <c r="E28" i="5"/>
  <c r="G28" i="5" s="1"/>
  <c r="E32" i="5"/>
  <c r="G32" i="5" s="1"/>
  <c r="E36" i="5"/>
  <c r="G36" i="5" s="1"/>
  <c r="E40" i="5"/>
  <c r="G40" i="5" s="1"/>
  <c r="E44" i="5"/>
  <c r="G44" i="5" s="1"/>
  <c r="E25" i="5"/>
  <c r="G25" i="5" s="1"/>
  <c r="G26" i="5"/>
  <c r="K4" i="5"/>
  <c r="K5" i="5"/>
  <c r="I8" i="5"/>
  <c r="A25" i="5" l="1"/>
  <c r="A27" i="5"/>
  <c r="A26" i="5"/>
  <c r="K8" i="5"/>
  <c r="B8" i="5"/>
  <c r="D8" i="5"/>
  <c r="E5" i="5" l="1"/>
  <c r="D4" i="5"/>
  <c r="E4" i="5"/>
  <c r="C6" i="5"/>
  <c r="D6" i="5"/>
  <c r="C5" i="5"/>
  <c r="E6" i="5"/>
  <c r="D5" i="5"/>
  <c r="C4" i="5"/>
  <c r="L5" i="5"/>
  <c r="J6" i="5"/>
  <c r="L6" i="5"/>
  <c r="J4" i="5"/>
  <c r="L4" i="5"/>
  <c r="J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3570BA-F959-40D9-83EB-7AA4F8859EA5}" name="bebidasTexto" type="6" refreshedVersion="6" background="1" saveData="1">
    <textPr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2" xr16:uid="{F00A319B-8A39-4DA3-9F86-71BA6DEE1252}" name="bebidasTexto1" type="6" refreshedVersion="6" background="1" saveData="1">
    <textPr prompt="0" codePage="850" sourceFile="C:\PIM\bebidasTexto.txt" decimal="," thousands="." semicolon="1">
      <textFields count="5">
        <textField/>
        <textField/>
        <textField/>
        <textField/>
        <textField/>
      </textFields>
    </textPr>
  </connection>
  <connection id="3" xr16:uid="{E2014A7F-A4DD-4C55-B528-8D705B6635AD}" name="bebidasTexto10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4" xr16:uid="{E3F2BF2E-92B0-4A78-A92A-158DA10DA33B}" name="bebidasTexto11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5" xr16:uid="{85350D37-A64F-4BBF-93F4-FBAC21D1D515}" name="bebidasTexto12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6" xr16:uid="{AC4EEA7A-10B3-4425-8065-619DD1713A45}" name="bebidasTexto2" type="6" refreshedVersion="6" background="1" saveData="1">
    <textPr prompt="0" codePage="850" sourceFile="C:\PIM\bebidasTexto.txt" decimal="," thousands="." semicolon="1">
      <textFields count="5">
        <textField/>
        <textField/>
        <textField/>
        <textField/>
        <textField/>
      </textFields>
    </textPr>
  </connection>
  <connection id="7" xr16:uid="{FEA08CB7-FDC4-4776-8036-0DDA4985BC42}" name="bebidasTexto3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8" xr16:uid="{D62F69CA-1463-4DE6-8436-638B4DD9FC4D}" name="bebidasTexto4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9" xr16:uid="{B011B27F-7648-406C-82F4-A28F9C1AF032}" name="bebidasTexto5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10" xr16:uid="{AFB59EED-4C3F-4DEA-B0CB-605B9615A32A}" name="bebidasTexto6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11" xr16:uid="{6007191D-A42A-4F53-B5AA-C9D07FEFE5E5}" name="bebidasTexto7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12" xr16:uid="{BB02A464-6E01-4648-A376-88EFB382F109}" name="bebidasTexto8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13" xr16:uid="{05C7E4EF-FE49-44E3-B9AD-DC26C775F83D}" name="bebidasTexto9" type="6" refreshedVersion="6" background="1" saveData="1">
    <textPr prompt="0" codePage="850" sourceFile="C:\Users\user\Desktop\PIMEXCEL\PIM\bebidasTexto.txt" decimal="," thousands="." semicolon="1">
      <textFields count="5">
        <textField/>
        <textField/>
        <textField/>
        <textField/>
        <textField/>
      </textFields>
    </textPr>
  </connection>
  <connection id="14" xr16:uid="{887D331E-2167-4DDD-9192-AEE287089E29}" name="pizzasTexto" type="6" refreshedVersion="6" background="1" saveData="1">
    <textPr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15" xr16:uid="{B44CE4CB-2E4F-4BEA-B25B-6CE90D2A77AE}" name="pizzasTexto1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16" xr16:uid="{BE9C1736-26BD-410D-B792-B092AC8C4396}" name="pizzasTexto10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17" xr16:uid="{6C5268A8-96F2-4ECC-BC37-F7C4BF25C092}" name="pizzasTexto11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18" xr16:uid="{40D08D58-C09F-4205-A451-80318492248E}" name="pizzasTexto12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19" xr16:uid="{74CBFD05-1256-44BD-8B91-95A98CA1EF0C}" name="pizzasTexto13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0" xr16:uid="{2AC90A15-3BA4-4F04-8365-09F6DF9706AE}" name="pizzasTexto14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1" xr16:uid="{C8400E8B-88DE-4D9F-B338-49849B92E9D8}" name="pizzasTexto15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2" xr16:uid="{DAC74343-B897-4D72-A864-8764BC41C8CA}" name="pizzasTexto16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3" xr16:uid="{BAD9A837-1DD1-4322-BD43-8A632E713848}" name="pizzasTexto17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4" xr16:uid="{6854795E-D32D-4DE4-B180-9DE07727555F}" name="pizzasTexto18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5" xr16:uid="{E68B6670-7E3D-473F-ACFA-27B05C15BD5C}" name="pizzasTexto19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6" xr16:uid="{C71322E7-6CB7-4E8A-878C-6336087225C6}" name="pizzasTexto2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7" xr16:uid="{B33E5AD1-71F4-435D-898A-CF3A93E52BDD}" name="pizzasTexto20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8" xr16:uid="{B8045F5D-5C6B-4341-B1CD-5ACA3546AFD3}" name="pizzasTexto21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29" xr16:uid="{4A3B6731-7A94-46D7-9116-A3CAB1280B95}" name="pizzasTexto22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0" xr16:uid="{68E00F24-EF6F-4E5A-BB59-4329443C718D}" name="pizzasTexto23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1" xr16:uid="{19E89A25-4602-4824-9E7E-777FA8CD980A}" name="pizzasTexto24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2" xr16:uid="{61B7438B-AA9A-4579-8638-96FF6748A279}" name="pizzasTexto25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3" xr16:uid="{106E0304-AAD7-466A-8172-156EE5D7F538}" name="pizzasTexto26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4" xr16:uid="{486562F9-5D98-49C1-85A7-836C384CE83E}" name="pizzasTexto27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5" xr16:uid="{BDBE5BD2-A5C9-4D13-9E58-4ACC50DC7A59}" name="pizzasTexto28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6" xr16:uid="{E8D3E17B-5990-4702-BF36-E56DB03CD0FD}" name="pizzasTexto29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7" xr16:uid="{D26F77B3-CF70-4F5D-A558-2CFC89B736CE}" name="pizzasTexto3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8" xr16:uid="{876F695B-686C-49EE-88AF-5713282A99AD}" name="pizzasTexto30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39" xr16:uid="{3D4345B6-CF97-489C-B701-F8D923AAF5D7}" name="pizzasTexto31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0" xr16:uid="{F2D35FCA-1813-4DCC-BE4A-92779FA0D482}" name="pizzasTexto32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1" xr16:uid="{57D95F49-CAC9-4599-AA52-E7121C71D959}" name="pizzasTexto33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2" xr16:uid="{8ECBD5AF-E404-4126-B8C5-4F8B3CE0A7F6}" name="pizzasTexto34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3" xr16:uid="{B1CE8B34-B260-4D22-B28D-543C86A6CB78}" name="pizzasTexto35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4" xr16:uid="{0AE1FB26-C2CF-47A6-92B1-64BA24AE698C}" name="pizzasTexto36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5" xr16:uid="{1F6BE030-380B-4E37-B8ED-9270C4497251}" name="pizzasTexto37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6" xr16:uid="{7716B4C2-DCC0-49A3-9BCD-51913FF99BB4}" name="pizzasTexto38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7" xr16:uid="{5610575A-708D-4AC9-89FC-AA9118E42571}" name="pizzasTexto39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8" xr16:uid="{022619A9-3805-4D50-B008-1386EF9C5856}" name="pizzasTexto4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49" xr16:uid="{4BD762BA-81A0-43E0-A351-C9C77E7DCA61}" name="pizzasTexto40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0" xr16:uid="{1DBF49A7-1D8A-4890-A6B9-63D4FFC63A23}" name="pizzasTexto41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1" xr16:uid="{A1E2AC39-68E3-44DA-8A4B-5DD24BFBEE8D}" name="pizzasTexto42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2" xr16:uid="{4E54B282-9F93-421A-BA95-8EBA081851F2}" name="pizzasTexto43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3" xr16:uid="{904559DF-9F8E-4388-BD45-6864CDE3E74E}" name="pizzasTexto44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4" xr16:uid="{89D91CD6-F30D-4931-8E45-6E62BA31FA21}" name="pizzasTexto45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5" xr16:uid="{223BA4C6-8829-419A-9C54-200DCFAF6B57}" name="pizzasTexto46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6" xr16:uid="{1DA828D3-E7FD-4CF0-914B-6242690E2E8B}" name="pizzasTexto47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7" xr16:uid="{9B28B3F2-10C1-4907-BEE2-FC4280B5DFEE}" name="pizzasTexto48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8" xr16:uid="{4AEF234B-B03E-467F-8D1B-9A7626D44D3D}" name="pizzasTexto49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59" xr16:uid="{201836EC-7650-4BEA-8428-1A922A35D5E8}" name="pizzasTexto5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60" xr16:uid="{7A2DAB4A-38AC-4E06-8B50-E46F0259060D}" name="pizzasTexto50" type="6" refreshedVersion="6" background="1" saveData="1">
    <textPr prompt="0" sourceFile="C: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61" xr16:uid="{782DE1B1-2688-4361-912D-4AA588441AEB}" name="pizzasTexto51" type="6" refreshedVersion="6" background="1" saveData="1">
    <textPr prompt="0" sourceFile="C: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62" xr16:uid="{EA43A86C-CA5B-4D34-B6B1-E1668FAD2E5E}" name="pizzasTexto6" type="6" refreshedVersion="6" background="1" saveData="1">
    <textPr prompt="0" sourceFile="C:\Users\user\Desktop\PIMEXCEL\PIM\pizzasTexto.txt" decimal="," thousands="." semicolon="1">
      <textFields count="6">
        <textField/>
        <textField/>
        <textField/>
        <textField/>
        <textField/>
        <textField/>
      </textFields>
    </textPr>
  </connection>
  <connection id="63" xr16:uid="{0E535533-DFD2-4738-A7E1-1FA5E662C6F1}" name="pizzasTexto7" type="6" refreshedVersion="6" background="1" saveData="1">
    <textPr prompt="0" sourceFile="C:\Users\user\Desktop\PIMEXCEL\PIM\pizzasTexto.txt" decimal="," thousands="." semicolon="1">
      <textFields count="5">
        <textField/>
        <textField/>
        <textField/>
        <textField/>
        <textField/>
      </textFields>
    </textPr>
  </connection>
  <connection id="64" xr16:uid="{4A2AF7DC-6568-4CA9-A192-F12B59308734}" name="pizzasTexto8" type="6" refreshedVersion="6" background="1" saveData="1">
    <textPr prompt="0" sourceFile="C:\Users\user\Desktop\PIMEXCEL\PIM\pizzasTexto.txt" decimal="," thousands="." semicolon="1">
      <textFields count="5">
        <textField/>
        <textField/>
        <textField/>
        <textField/>
        <textField/>
      </textFields>
    </textPr>
  </connection>
  <connection id="65" xr16:uid="{41FE9C1B-21AE-4AF4-B701-03C93780D073}" name="pizzasTexto9" type="6" refreshedVersion="6" background="1" saveData="1">
    <textPr prompt="0" sourceFile="C:\Users\user\Desktop\PIMEXCEL\PIM\pizzasTexto.txt" decimal="," thousands=".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<sst xmlns="http://schemas.openxmlformats.org/spreadsheetml/2006/main" count="72" uniqueCount="41">
  <si>
    <t>Codigo</t>
  </si>
  <si>
    <t>Sabor</t>
  </si>
  <si>
    <t>Cabeçario</t>
  </si>
  <si>
    <t>pizzasTexto.txt</t>
  </si>
  <si>
    <t>Nome do Arquivo</t>
  </si>
  <si>
    <t>Ingredientes</t>
  </si>
  <si>
    <t>4 queijos</t>
  </si>
  <si>
    <t>Mussarela, provolone, parmesao, gorgonzola</t>
  </si>
  <si>
    <t>Portuguesa</t>
  </si>
  <si>
    <t>Mussarela, calabresa, cebola, ovo, ervilha.</t>
  </si>
  <si>
    <t>Preço de Venda</t>
  </si>
  <si>
    <t>Custo</t>
  </si>
  <si>
    <t>12,00</t>
  </si>
  <si>
    <t>26,95</t>
  </si>
  <si>
    <t>13,00</t>
  </si>
  <si>
    <t>29,00</t>
  </si>
  <si>
    <t>Preço</t>
  </si>
  <si>
    <t>Ganho</t>
  </si>
  <si>
    <t>Vendidas no Mês</t>
  </si>
  <si>
    <t>PIZZAS</t>
  </si>
  <si>
    <t>Bebidas</t>
  </si>
  <si>
    <t>Cabeçario2</t>
  </si>
  <si>
    <t>Bebida</t>
  </si>
  <si>
    <t>coca 2 lts</t>
  </si>
  <si>
    <t>3,20</t>
  </si>
  <si>
    <t>8,50</t>
  </si>
  <si>
    <t>Relatorio Completo</t>
  </si>
  <si>
    <t>Rank de Pizzas Mais Vendidas</t>
  </si>
  <si>
    <t>Rank de Bebidas Mais Vendidas</t>
  </si>
  <si>
    <t>1º</t>
  </si>
  <si>
    <t>2º</t>
  </si>
  <si>
    <t>3º</t>
  </si>
  <si>
    <t>Gasto Pizzas</t>
  </si>
  <si>
    <t>Lucro  Pizzas</t>
  </si>
  <si>
    <t>Rk</t>
  </si>
  <si>
    <t>Quantidade</t>
  </si>
  <si>
    <t>Lucro</t>
  </si>
  <si>
    <t>Gasto Bebidas</t>
  </si>
  <si>
    <t>Lucro  Bebidas</t>
  </si>
  <si>
    <t>rkg</t>
  </si>
  <si>
    <t>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</si>
</sst>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Aharoni"/>
      <charset val="177"/>
    </font>
    <font>
      <b/>
      <u/>
      <sz val="26"/>
      <color theme="1"/>
      <name val="Arial Rounded MT Bold"/>
      <family val="2"/>
    </font>
    <font>
      <b/>
      <sz val="11"/>
      <color theme="0"/>
      <name val="Aharoni"/>
      <charset val="177"/>
    </font>
    <font>
      <b/>
      <u/>
      <sz val="26"/>
      <color theme="0"/>
      <name val="Arial Rounded MT Bold"/>
      <family val="2"/>
    </font>
    <font>
      <b/>
      <sz val="36"/>
      <name val="Aharoni"/>
      <charset val="177"/>
    </font>
    <font>
      <b/>
      <sz val="14"/>
      <color rgb="FF000000"/>
      <name val="Comic Sans MS"/>
      <family val="4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5">
    <xf numFmtId="0" fontId="0" fillId="0" borderId="0" xfId="0"/>
    <xf numFmtId="0" fontId="3" fillId="0" borderId="1" xfId="0" applyFont="1" applyBorder="1"/>
    <xf numFmtId="0" fontId="0" fillId="0" borderId="1" xfId="0" applyBorder="1"/>
    <xf numFmtId="0" fontId="5" fillId="2" borderId="1" xfId="0" applyFont="1" applyFill="1" applyBorder="1"/>
    <xf numFmtId="0" fontId="3" fillId="3" borderId="1" xfId="0" applyFont="1" applyFill="1" applyBorder="1"/>
    <xf numFmtId="44" fontId="0" fillId="0" borderId="0" xfId="1" applyFont="1"/>
    <xf numFmtId="0" fontId="6" fillId="4" borderId="1" xfId="0" applyFont="1" applyFill="1" applyBorder="1"/>
    <xf numFmtId="44" fontId="6" fillId="4" borderId="1" xfId="1" applyFont="1" applyFill="1" applyBorder="1"/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/>
    </xf>
    <xf numFmtId="0" fontId="3" fillId="0" borderId="2" xfId="0" applyFont="1" applyBorder="1" applyAlignment="1">
      <alignment horizontal="center"/>
    </xf>
    <xf numFmtId="44" fontId="3" fillId="0" borderId="2" xfId="1" applyFont="1" applyBorder="1" applyAlignment="1">
      <alignment horizontal="center"/>
    </xf>
    <xf numFmtId="44" fontId="3" fillId="0" borderId="2" xfId="0" applyNumberFormat="1" applyFont="1" applyBorder="1" applyAlignment="1">
      <alignment horizontal="center"/>
    </xf>
    <xf numFmtId="0" fontId="2" fillId="0" borderId="0" xfId="0" applyFont="1"/>
    <xf numFmtId="0" fontId="0" fillId="0" borderId="4" xfId="0" applyBorder="1" applyAlignment="1">
      <alignment horizontal="center" vertical="center"/>
    </xf>
    <xf numFmtId="0" fontId="4" fillId="0" borderId="0" xfId="0" applyFont="1"/>
    <xf numFmtId="0" fontId="0" fillId="0" borderId="0" xfId="0" applyFont="1"/>
    <xf numFmtId="44" fontId="0" fillId="0" borderId="5" xfId="1" applyFont="1" applyBorder="1" applyAlignment="1">
      <alignment horizontal="center" vertical="center"/>
    </xf>
    <xf numFmtId="0" fontId="3" fillId="3" borderId="3" xfId="0" applyFont="1" applyFill="1" applyBorder="1"/>
    <xf numFmtId="0" fontId="3" fillId="3" borderId="4" xfId="0" applyFont="1" applyFill="1" applyBorder="1"/>
    <xf numFmtId="0" fontId="3" fillId="3" borderId="5" xfId="0" applyFont="1" applyFill="1" applyBorder="1"/>
    <xf numFmtId="0" fontId="3" fillId="0" borderId="3" xfId="0" applyFont="1" applyBorder="1"/>
    <xf numFmtId="0" fontId="0" fillId="0" borderId="4" xfId="0" applyFont="1" applyBorder="1" applyAlignment="1">
      <alignment horizontal="center" vertical="center"/>
    </xf>
    <xf numFmtId="44" fontId="1" fillId="0" borderId="5" xfId="1" applyFont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4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8" borderId="0" xfId="0" applyFont="1" applyFill="1" applyAlignment="1">
      <alignment horizontal="center"/>
    </xf>
    <xf numFmtId="44" fontId="3" fillId="0" borderId="0" xfId="1" applyFont="1" applyAlignment="1">
      <alignment horizontal="center"/>
    </xf>
    <xf numFmtId="0" fontId="12" fillId="0" borderId="0" xfId="0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95250</xdr:rowOff>
        </xdr:from>
        <xdr:to>
          <xdr:col>18</xdr:col>
          <xdr:colOff>114300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omic Sans MS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13" connectionId="6" xr16:uid="{3FF727CF-7A4F-4C1D-BB52-B721CD7F10D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51" connectionId="61" xr16:uid="{A124A69F-F9B8-4716-BCFE-70EE7FC9CFA7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3" connectionId="8" xr16:uid="{71EF44F2-63B1-40D0-8314-672BCA10758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9" connectionId="58" xr16:uid="{7060C7F5-BFCE-4A19-A8B5-BEA7E1CEA85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9" connectionId="3" xr16:uid="{8E96314B-9093-4BDD-A4CC-7D753A67464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5" connectionId="21" xr16:uid="{C4DB1934-A3F7-482D-8693-68EFC2EACD85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6" connectionId="44" xr16:uid="{34A2C949-5C57-4C74-840D-1B0767A471B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7" connectionId="63" xr16:uid="{E97A38F6-4E60-4AF8-B58A-008FCF4EE7A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1" connectionId="50" xr16:uid="{8395DD58-2E7B-406F-B952-9A94B0AB6D19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0" connectionId="38" xr16:uid="{6BC0044E-B574-4AC5-AFAD-2353C4FA8A43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8" connectionId="57" xr16:uid="{21B1C183-80C3-4D63-BF7A-F038B060744F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6" connectionId="62" xr16:uid="{E36BC223-9D5A-4280-A12D-A0A584B37062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4" connectionId="42" xr16:uid="{36033E5B-7073-4823-9AF6-2656C1E2A46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7" connectionId="45" xr16:uid="{822E0B96-AB52-4714-B078-7D86F1C26E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5" connectionId="10" xr16:uid="{FEF5676B-7E01-469D-8C43-1091550575AE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5" connectionId="59" xr16:uid="{6181839A-08AE-463D-884F-A0200568C139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6" connectionId="33" xr16:uid="{8C245EC4-7B23-457E-BB0E-B4CB90D0AAE6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3" connectionId="30" xr16:uid="{5F1A95B5-4A17-4F9F-99E1-17607400F2CF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10" connectionId="4" xr16:uid="{6D4840CB-DCC9-42A4-9DCB-51D1021C82B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3" connectionId="41" xr16:uid="{4C0A36F3-E43B-43E9-BCC3-E7A177B0564E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4" connectionId="9" xr16:uid="{2D3B475B-65C1-4209-95B4-1CA49FA30606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9" connectionId="65" xr16:uid="{4F3659C4-130C-45A1-8CC8-62A1DBA04F48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1" connectionId="17" xr16:uid="{0DB48B8B-AD78-40B1-B3D5-1F7886C90298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1" connectionId="39" xr16:uid="{23AFF30B-D11A-4934-9D73-46F9299671F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0" connectionId="27" xr16:uid="{963A240F-7472-4B20-837A-16B0B9363618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8" connectionId="46" xr16:uid="{2E46166B-8815-46B3-A56E-7639C284BB55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7" connectionId="34" xr16:uid="{45DE4FD7-E0F1-43CF-A567-0DC28443D321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6" connectionId="11" xr16:uid="{ED1C3079-BA84-4CD1-8783-1137FAE3F8F4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8" connectionId="64" xr16:uid="{F4E03FFE-16EE-46E0-A68C-B515CD17C4B3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7" connectionId="12" xr16:uid="{6921E829-E5DF-42BD-9683-5EB688BBF75B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50" connectionId="60" xr16:uid="{BAAD9D82-B1FA-47F3-BE36-26FBDDAD1C2D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8" connectionId="13" xr16:uid="{A9F66B9D-5223-4EEB-8C55-124A6022BF8D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11" connectionId="5" xr16:uid="{CFAD21DE-F739-481F-8EA4-86019BF9A1E6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4" connectionId="20" xr16:uid="{186CF550-FF9F-4D7B-8596-2F14016EB87C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1" connectionId="28" xr16:uid="{B9D5F158-739E-46F8-AD82-A4C4749833D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0" connectionId="16" xr16:uid="{DC023667-A0A7-48A5-B19D-D2BE2CE6581B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8" connectionId="35" xr16:uid="{4D87A1C7-5C73-4486-82E3-F332532E8D48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2" connectionId="29" xr16:uid="{73A54565-45C4-440F-9985-E4908968A35E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9" connectionId="47" xr16:uid="{66DB519A-6736-47B5-B292-FF1756E99932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2" connectionId="51" xr16:uid="{2E51CC15-A770-4B08-9093-7945605775C6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9" connectionId="36" xr16:uid="{2CD0B853-5F74-476D-A4FC-2A147038B628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" connectionId="14" xr16:uid="{C30F3941-9930-4022-A725-9DB626A6A419}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1" connectionId="1" xr16:uid="{5A8C30CD-C84F-40EF-BE88-F7D23620A622}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5" connectionId="54" xr16:uid="{F560895C-ECF8-4A44-A28C-CBCD55E0FCA2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8" connectionId="24" xr16:uid="{61E0CEB2-A44B-4997-B835-8D72B1ECCFF6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4" connectionId="53" xr16:uid="{1238D01C-1820-4CCA-8AA2-5629D76B86FF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2" connectionId="18" xr16:uid="{A16B1AC6-2C81-4DD4-BB0D-008EC62AF564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5" connectionId="43" xr16:uid="{9BFBE43B-0FEC-4743-A08A-F0C9C5BE5D33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" connectionId="15" xr16:uid="{5BDBAD57-5F25-4820-B449-97F6E82C81FB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9" connectionId="25" xr16:uid="{BA7E5D54-9A2E-4002-907C-D44CA4A8DA61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" connectionId="37" xr16:uid="{02C2DEA9-A6F3-4991-838F-5200BB9059CE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2" connectionId="7" xr16:uid="{A8900169-5423-47D1-B681-04A1D645D99F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7" connectionId="56" xr16:uid="{E636AD4C-02FB-4E31-B9D4-A8D4B0F6108D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3" connectionId="52" xr16:uid="{9BF9E5FD-031F-4420-9545-5578703FCBA7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3" connectionId="19" xr16:uid="{FD4EB0F9-58A4-4862-B2B0-B92949372969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0" connectionId="49" xr16:uid="{003B2562-B823-4B67-BCE1-CDB1160F0D83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ebidasTexto_12" connectionId="2" xr16:uid="{3F5F8089-67E6-47FE-9C38-8BA0B8DA6A2E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" connectionId="26" xr16:uid="{70C37DCA-78EB-4EBC-9114-BD8D6930F8E3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5" connectionId="32" xr16:uid="{95100CDA-69DF-4EA1-AFF8-6B11A41587AF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" connectionId="48" xr16:uid="{EFC5D195-294E-42EC-BBFC-10927852CA4E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7" connectionId="23" xr16:uid="{3A0993D1-800F-4121-A230-9C2E7331277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46" connectionId="55" xr16:uid="{1CBB4DC8-602B-4EE8-89E0-0C4090689A37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32" connectionId="40" xr16:uid="{5B781CAC-7402-43DE-90C5-B307589D5A1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24" connectionId="31" xr16:uid="{5DF0FEC5-2DB5-4090-9622-19958A7DCD82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izzasTexto_16" connectionId="22" xr16:uid="{C87DCDD5-4637-4EA2-A06C-AD42BB75CD1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2.xml"/><Relationship Id="rId21" Type="http://schemas.openxmlformats.org/officeDocument/2006/relationships/queryTable" Target="../queryTables/queryTable17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19" Type="http://schemas.openxmlformats.org/officeDocument/2006/relationships/queryTable" Target="../queryTables/queryTable1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10" Type="http://schemas.openxmlformats.org/officeDocument/2006/relationships/queryTable" Target="../queryTables/queryTable6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39" Type="http://schemas.openxmlformats.org/officeDocument/2006/relationships/queryTable" Target="../queryTables/queryTable35.xml"/><Relationship Id="rId34" Type="http://schemas.openxmlformats.org/officeDocument/2006/relationships/queryTable" Target="../queryTables/queryTable30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D951C-D7C0-4E67-A85D-4FA0F5DDDCE0}">
  <sheetPr codeName="Planilha1"/>
  <dimension ref="A1:W12"/>
  <sheetViews>
    <sheetView showGridLines="0" tabSelected="1" workbookViewId="0">
      <selection activeCell="C12" sqref="C12"/>
    </sheetView>
  </sheetViews>
  <sheetFormatPr defaultRowHeight="15" x14ac:dyDescent="0.25"/>
  <cols>
    <col min="1" max="1" width="8.5703125" bestFit="1" customWidth="1"/>
    <col min="2" max="2" width="11" bestFit="1" customWidth="1"/>
    <col min="3" max="3" width="41.5703125" bestFit="1" customWidth="1"/>
    <col min="4" max="4" width="6.7109375" bestFit="1" customWidth="1"/>
    <col min="5" max="5" width="18.28515625" bestFit="1" customWidth="1"/>
    <col min="6" max="6" width="7.5703125" hidden="1" customWidth="1"/>
    <col min="7" max="7" width="14.42578125" hidden="1" customWidth="1"/>
    <col min="8" max="8" width="6.7109375" hidden="1" customWidth="1"/>
    <col min="9" max="9" width="18.42578125" hidden="1" customWidth="1"/>
    <col min="10" max="15" width="0" hidden="1" customWidth="1"/>
    <col min="20" max="20" width="8.5703125" bestFit="1" customWidth="1"/>
    <col min="21" max="21" width="8.85546875" bestFit="1" customWidth="1"/>
    <col min="22" max="22" width="6.7109375" style="5" bestFit="1" customWidth="1"/>
    <col min="23" max="23" width="18.28515625" style="5" bestFit="1" customWidth="1"/>
    <col min="25" max="25" width="8.5703125" bestFit="1" customWidth="1"/>
    <col min="26" max="26" width="8.85546875" bestFit="1" customWidth="1"/>
    <col min="27" max="27" width="6.7109375" bestFit="1" customWidth="1"/>
    <col min="28" max="28" width="18.42578125" bestFit="1" customWidth="1"/>
    <col min="30" max="30" width="8.5703125" bestFit="1" customWidth="1"/>
    <col min="31" max="31" width="8.85546875" bestFit="1" customWidth="1"/>
    <col min="32" max="32" width="8.5703125" bestFit="1" customWidth="1"/>
    <col min="33" max="33" width="18.42578125" bestFit="1" customWidth="1"/>
  </cols>
  <sheetData>
    <row r="1" spans="1:23" ht="15.75" x14ac:dyDescent="0.25">
      <c r="A1" s="6" t="s">
        <v>0</v>
      </c>
      <c r="B1" s="6" t="s">
        <v>1</v>
      </c>
      <c r="C1" s="6" t="s">
        <v>5</v>
      </c>
      <c r="D1" s="6" t="s">
        <v>11</v>
      </c>
      <c r="E1" s="6" t="s">
        <v>10</v>
      </c>
      <c r="F1" s="6"/>
      <c r="T1" s="6" t="s">
        <v>0</v>
      </c>
      <c r="U1" s="6" t="s">
        <v>22</v>
      </c>
      <c r="V1" s="7" t="s">
        <v>11</v>
      </c>
      <c r="W1" s="7" t="s">
        <v>10</v>
      </c>
    </row>
    <row r="2" spans="1:23" x14ac:dyDescent="0.25">
      <c r="A2">
        <v>1</v>
      </c>
      <c r="B2" t="s">
        <v>6</v>
      </c>
      <c r="C2" t="s">
        <v>7</v>
      </c>
      <c r="D2" s="5" t="s">
        <v>12</v>
      </c>
      <c r="E2" s="5" t="s">
        <v>13</v>
      </c>
      <c r="T2">
        <v>1</v>
      </c>
      <c r="U2" t="s">
        <v>23</v>
      </c>
      <c r="V2" s="5" t="s">
        <v>24</v>
      </c>
      <c r="W2" s="5" t="s">
        <v>25</v>
      </c>
    </row>
    <row r="3" spans="1:23" x14ac:dyDescent="0.25">
      <c r="A3">
        <v>2</v>
      </c>
      <c r="B3" t="s">
        <v>8</v>
      </c>
      <c r="C3" t="s">
        <v>9</v>
      </c>
      <c r="D3" s="5" t="s">
        <v>14</v>
      </c>
      <c r="E3" s="5" t="s">
        <v>15</v>
      </c>
    </row>
    <row r="12" spans="1:23" x14ac:dyDescent="0.25">
      <c r="C12" s="3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udo">
                <anchor moveWithCells="1">
                  <from>
                    <xdr:col>15</xdr:col>
                    <xdr:colOff>438150</xdr:colOff>
                    <xdr:row>0</xdr:row>
                    <xdr:rowOff>95250</xdr:rowOff>
                  </from>
                  <to>
                    <xdr:col>18</xdr:col>
                    <xdr:colOff>114300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466CA-8934-4DF4-960A-3D7580A1088D}">
  <sheetPr codeName="Planilha4"/>
  <dimension ref="A2:Q45"/>
  <sheetViews>
    <sheetView showGridLines="0" workbookViewId="0"/>
  </sheetViews>
  <sheetFormatPr defaultRowHeight="15" x14ac:dyDescent="0.25"/>
  <cols>
    <col min="3" max="3" width="10.85546875" style="8" customWidth="1"/>
    <col min="4" max="4" width="11" style="8" bestFit="1" customWidth="1"/>
    <col min="5" max="6" width="9.5703125" style="8" bestFit="1" customWidth="1"/>
    <col min="7" max="7" width="9.5703125" bestFit="1" customWidth="1"/>
    <col min="8" max="8" width="18.5703125" bestFit="1" customWidth="1"/>
    <col min="10" max="10" width="13" customWidth="1"/>
    <col min="11" max="11" width="11.28515625" customWidth="1"/>
    <col min="12" max="12" width="9.5703125" bestFit="1" customWidth="1"/>
    <col min="14" max="14" width="9.5703125" bestFit="1" customWidth="1"/>
    <col min="15" max="15" width="18.5703125" bestFit="1" customWidth="1"/>
  </cols>
  <sheetData>
    <row r="2" spans="2:12" x14ac:dyDescent="0.25">
      <c r="B2" s="32" t="s">
        <v>27</v>
      </c>
      <c r="C2" s="32"/>
      <c r="D2" s="32"/>
      <c r="E2" s="32"/>
      <c r="I2" s="32" t="s">
        <v>28</v>
      </c>
      <c r="J2" s="32"/>
      <c r="K2" s="32"/>
      <c r="L2" s="32"/>
    </row>
    <row r="3" spans="2:12" x14ac:dyDescent="0.25">
      <c r="B3" s="19" t="s">
        <v>34</v>
      </c>
      <c r="C3" s="20" t="s">
        <v>1</v>
      </c>
      <c r="D3" s="20" t="s">
        <v>35</v>
      </c>
      <c r="E3" s="21" t="s">
        <v>36</v>
      </c>
      <c r="I3" s="19" t="s">
        <v>34</v>
      </c>
      <c r="J3" s="20" t="s">
        <v>22</v>
      </c>
      <c r="K3" s="20" t="s">
        <v>35</v>
      </c>
      <c r="L3" s="21" t="s">
        <v>36</v>
      </c>
    </row>
    <row r="4" spans="2:12" x14ac:dyDescent="0.25">
      <c r="B4" s="22" t="s">
        <v>29</v>
      </c>
      <c r="C4" s="23" t="str">
        <f>VLOOKUP(1,$A$24:$D$44,4,0)</f>
        <v>Portuguesa</v>
      </c>
      <c r="D4" s="23">
        <f>VLOOKUP(1,$A$25:$H$44,8,0)</f>
        <v>1</v>
      </c>
      <c r="E4" s="24">
        <f>VLOOKUP(1,A25:G44,7,0)</f>
        <v>16</v>
      </c>
      <c r="I4" s="22" t="s">
        <v>29</v>
      </c>
      <c r="J4" s="15" t="str">
        <f>VLOOKUP(1,$I$24:$O$44,3,0)</f>
        <v>coca 2 lts</v>
      </c>
      <c r="K4" s="15">
        <f>LARGE($H$25:$H$44,1)</f>
        <v>1</v>
      </c>
      <c r="L4" s="18">
        <f>VLOOKUP(1,$I$25:$N$44,6,0)</f>
        <v>5.3</v>
      </c>
    </row>
    <row r="5" spans="2:12" x14ac:dyDescent="0.25">
      <c r="B5" s="22" t="s">
        <v>30</v>
      </c>
      <c r="C5" s="23" t="str">
        <f>VLOOKUP(2,$A$24:$D$44,4,0)</f>
        <v>4 queijos</v>
      </c>
      <c r="D5" s="23">
        <f>VLOOKUP(2,$A$25:$H$44,8,0)</f>
        <v>1</v>
      </c>
      <c r="E5" s="24">
        <f>VLOOKUP(2,A25:G44,7,0)</f>
        <v>14.95</v>
      </c>
      <c r="I5" s="22" t="s">
        <v>30</v>
      </c>
      <c r="J5" s="15" t="e">
        <f>VLOOKUP(2,$I$24:$O$44,3,0)</f>
        <v>#N/A</v>
      </c>
      <c r="K5" s="15">
        <f>LARGE($H$25:$H$44,2)</f>
        <v>1</v>
      </c>
      <c r="L5" s="18" t="e">
        <f>VLOOKUP(2,$I$25:$N$44,6,0)</f>
        <v>#N/A</v>
      </c>
    </row>
    <row r="6" spans="2:12" x14ac:dyDescent="0.25">
      <c r="B6" s="22" t="s">
        <v>31</v>
      </c>
      <c r="C6" s="23" t="e">
        <f>VLOOKUP(3,$A$24:$D$44,4,0)</f>
        <v>#N/A</v>
      </c>
      <c r="D6" s="23" t="e">
        <f>VLOOKUP(3,$A$25:$H$44,8,0)</f>
        <v>#N/A</v>
      </c>
      <c r="E6" s="24" t="e">
        <f>VLOOKUP(3,A25:G44,7,0)</f>
        <v>#N/A</v>
      </c>
      <c r="I6" s="22" t="s">
        <v>31</v>
      </c>
      <c r="J6" s="15" t="e">
        <f>VLOOKUP(3,$I$24:$O$44,3,0)</f>
        <v>#N/A</v>
      </c>
      <c r="K6" s="15" t="e">
        <f>LARGE($H$25:$H$44,3)</f>
        <v>#NUM!</v>
      </c>
      <c r="L6" s="18" t="e">
        <f>VLOOKUP(3,$I$25:$N$44,6,0)</f>
        <v>#N/A</v>
      </c>
    </row>
    <row r="7" spans="2:12" x14ac:dyDescent="0.25">
      <c r="B7" s="28" t="s">
        <v>32</v>
      </c>
      <c r="C7" s="28"/>
      <c r="D7" s="29" t="s">
        <v>33</v>
      </c>
      <c r="E7" s="29"/>
      <c r="I7" s="28" t="s">
        <v>37</v>
      </c>
      <c r="J7" s="28"/>
      <c r="K7" s="29" t="s">
        <v>38</v>
      </c>
      <c r="L7" s="29"/>
    </row>
    <row r="8" spans="2:12" x14ac:dyDescent="0.25">
      <c r="B8" s="30">
        <f>SUM(E25:E44)</f>
        <v>25</v>
      </c>
      <c r="C8" s="31"/>
      <c r="D8" s="30">
        <f>SUM(G25:G44)</f>
        <v>30.95</v>
      </c>
      <c r="E8" s="31"/>
      <c r="I8" s="30">
        <f>SUM(L25:L44)</f>
        <v>3.2</v>
      </c>
      <c r="J8" s="31"/>
      <c r="K8" s="33">
        <f>SUM(N25:N44)</f>
        <v>5.3</v>
      </c>
      <c r="L8" s="33"/>
    </row>
    <row r="19" spans="1:17" x14ac:dyDescent="0.25">
      <c r="A19" s="17"/>
      <c r="B19" s="17"/>
      <c r="C19" s="27" t="s">
        <v>26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</row>
    <row r="20" spans="1:17" ht="28.5" customHeight="1" x14ac:dyDescent="0.25">
      <c r="A20" s="17"/>
      <c r="B20" s="1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</row>
    <row r="21" spans="1:17" x14ac:dyDescent="0.25">
      <c r="A21" s="17"/>
      <c r="B21" s="17"/>
    </row>
    <row r="22" spans="1:17" x14ac:dyDescent="0.25">
      <c r="A22" s="17"/>
      <c r="B22" s="17"/>
    </row>
    <row r="23" spans="1:17" ht="35.25" customHeight="1" x14ac:dyDescent="0.25">
      <c r="A23" s="17"/>
      <c r="B23" s="17"/>
      <c r="C23" s="25" t="s">
        <v>19</v>
      </c>
      <c r="D23" s="25"/>
      <c r="E23" s="25"/>
      <c r="F23" s="25"/>
      <c r="G23" s="25"/>
      <c r="H23" s="25"/>
      <c r="I23" s="16"/>
      <c r="J23" s="26" t="s">
        <v>20</v>
      </c>
      <c r="K23" s="26"/>
      <c r="L23" s="26"/>
      <c r="M23" s="26"/>
      <c r="N23" s="26"/>
      <c r="O23" s="26"/>
      <c r="P23" s="17"/>
      <c r="Q23" s="17"/>
    </row>
    <row r="24" spans="1:17" ht="15.75" thickBot="1" x14ac:dyDescent="0.3">
      <c r="A24" s="16" t="s">
        <v>39</v>
      </c>
      <c r="B24" s="16" t="s">
        <v>40</v>
      </c>
      <c r="C24" s="10" t="s">
        <v>0</v>
      </c>
      <c r="D24" s="10" t="s">
        <v>1</v>
      </c>
      <c r="E24" s="10" t="s">
        <v>11</v>
      </c>
      <c r="F24" s="10" t="s">
        <v>16</v>
      </c>
      <c r="G24" s="10" t="s">
        <v>17</v>
      </c>
      <c r="H24" s="10" t="s">
        <v>18</v>
      </c>
      <c r="I24" s="16" t="s">
        <v>39</v>
      </c>
      <c r="J24" s="9" t="s">
        <v>0</v>
      </c>
      <c r="K24" s="9" t="s">
        <v>1</v>
      </c>
      <c r="L24" s="9" t="s">
        <v>11</v>
      </c>
      <c r="M24" s="9" t="s">
        <v>16</v>
      </c>
      <c r="N24" s="9" t="s">
        <v>17</v>
      </c>
      <c r="O24" s="9" t="s">
        <v>18</v>
      </c>
      <c r="P24" s="16" t="s">
        <v>40</v>
      </c>
      <c r="Q24" s="17"/>
    </row>
    <row r="25" spans="1:17" ht="16.5" thickTop="1" thickBot="1" x14ac:dyDescent="0.3">
      <c r="A25" s="14">
        <f>IFERROR(RANK($B25,$B$25:$B$44),"-")</f>
        <v>2</v>
      </c>
      <c r="B25" s="16">
        <f>IFERROR(H25+(ROW(H25)/10000000),"-")</f>
        <v>1.0000024999999999</v>
      </c>
      <c r="C25" s="11">
        <v>1</v>
      </c>
      <c r="D25" s="11" t="str">
        <f>IFERROR(VLOOKUP($C25,Base!A:B,2,0),"-")</f>
        <v>4 queijos</v>
      </c>
      <c r="E25" s="12">
        <f>IFERROR(VLOOKUP(C25,Base!A:D,4,0)*H25,"-")</f>
        <v>12</v>
      </c>
      <c r="F25" s="12" t="str">
        <f>IFERROR(VLOOKUP(C25,Base!A:E,5,0),"-")</f>
        <v>26,95</v>
      </c>
      <c r="G25" s="13">
        <f>IFERROR(F25*H25-E25,"-")</f>
        <v>14.95</v>
      </c>
      <c r="H25" s="11">
        <f>IF(COUNTIF(Base!A:A,Gestão!C25)=0,"-",COUNTIF(Base!A:A,Gestão!C25))</f>
        <v>1</v>
      </c>
      <c r="I25" s="14">
        <f>IFERROR(RANK(P25,$P$25:$P$44),"-")</f>
        <v>1</v>
      </c>
      <c r="J25" s="11">
        <v>1</v>
      </c>
      <c r="K25" s="11" t="str">
        <f>IFERROR(VLOOKUP(J25,Base!T:W,2,0),"-")</f>
        <v>coca 2 lts</v>
      </c>
      <c r="L25" s="12">
        <f>IFERROR(VLOOKUP(K25,Base!U:X,2,0)*O25,"-")</f>
        <v>3.2</v>
      </c>
      <c r="M25" s="12" t="str">
        <f>IFERROR(VLOOKUP(J25,Base!T:W,4,0),"-")</f>
        <v>8,50</v>
      </c>
      <c r="N25" s="13">
        <f>IFERROR(M25*O25-L25,"-")</f>
        <v>5.3</v>
      </c>
      <c r="O25" s="11">
        <f>IF(COUNTIF(Base!T:T,Gestão!J25)=0,"-",COUNTIF(Base!T:T,Gestão!J25))</f>
        <v>1</v>
      </c>
      <c r="P25" s="16">
        <f t="shared" ref="P25:P26" si="0">IFERROR(O25+(ROW(O25)/100),"-")</f>
        <v>1.25</v>
      </c>
      <c r="Q25" s="17"/>
    </row>
    <row r="26" spans="1:17" ht="16.5" thickTop="1" thickBot="1" x14ac:dyDescent="0.3">
      <c r="A26" s="14">
        <f t="shared" ref="A26:A44" si="1">IFERROR(RANK($B26,$B$25:$B$44),"-")</f>
        <v>1</v>
      </c>
      <c r="B26" s="16">
        <f t="shared" ref="B26:B44" si="2">IFERROR(H26+(ROW(H26)/10000000),"-")</f>
        <v>1.0000026</v>
      </c>
      <c r="C26" s="11">
        <v>2</v>
      </c>
      <c r="D26" s="11" t="str">
        <f>IFERROR(VLOOKUP($C26,Base!A:B,2,0),"-")</f>
        <v>Portuguesa</v>
      </c>
      <c r="E26" s="12">
        <f>IFERROR(VLOOKUP(C26,Base!A:D,4,0)*H26,"-")</f>
        <v>13</v>
      </c>
      <c r="F26" s="12" t="str">
        <f>IFERROR(VLOOKUP(C26,Base!A:E,5,0),"-")</f>
        <v>29,00</v>
      </c>
      <c r="G26" s="13">
        <f t="shared" ref="G26:G44" si="3">IFERROR(F26*H26-E26,"-")</f>
        <v>16</v>
      </c>
      <c r="H26" s="11">
        <f>IF(COUNTIF(Base!A:A,Gestão!C26)=0,"-",COUNTIF(Base!A:A,Gestão!C26))</f>
        <v>1</v>
      </c>
      <c r="I26" s="14" t="str">
        <f t="shared" ref="I26:I44" si="4">IFERROR(RANK(P26,$P$25:$P$44),"-")</f>
        <v>-</v>
      </c>
      <c r="J26" s="11">
        <v>2</v>
      </c>
      <c r="K26" s="11" t="str">
        <f>IFERROR(VLOOKUP(J26,Base!T:W,2,0),"-")</f>
        <v>-</v>
      </c>
      <c r="L26" s="12" t="str">
        <f>IFERROR(VLOOKUP(K26,Base!U:X,2,0)*O26,"-")</f>
        <v>-</v>
      </c>
      <c r="M26" s="12" t="str">
        <f>IFERROR(VLOOKUP(J26,Base!T:W,4,0),"-")</f>
        <v>-</v>
      </c>
      <c r="N26" s="13" t="str">
        <f t="shared" ref="N26:N44" si="5">IFERROR(M26*O26-L26,"-")</f>
        <v>-</v>
      </c>
      <c r="O26" s="11" t="str">
        <f>IF(COUNTIF(Base!T:T,Gestão!J26)=0,"-",COUNTIF(Base!T:T,Gestão!J26))</f>
        <v>-</v>
      </c>
      <c r="P26" s="16" t="str">
        <f t="shared" si="0"/>
        <v>-</v>
      </c>
      <c r="Q26" s="17"/>
    </row>
    <row r="27" spans="1:17" ht="16.5" thickTop="1" thickBot="1" x14ac:dyDescent="0.3">
      <c r="A27" s="14" t="str">
        <f t="shared" si="1"/>
        <v>-</v>
      </c>
      <c r="B27" s="16" t="str">
        <f t="shared" si="2"/>
        <v>-</v>
      </c>
      <c r="C27" s="11">
        <v>3</v>
      </c>
      <c r="D27" s="11" t="str">
        <f>IFERROR(VLOOKUP($C27,Base!A:B,2,0),"-")</f>
        <v>-</v>
      </c>
      <c r="E27" s="12" t="str">
        <f>IFERROR(VLOOKUP(C27,Base!A:D,4,0)*H27,"-")</f>
        <v>-</v>
      </c>
      <c r="F27" s="12" t="str">
        <f>IFERROR(VLOOKUP(C27,Base!A:E,5,0),"-")</f>
        <v>-</v>
      </c>
      <c r="G27" s="13" t="str">
        <f t="shared" si="3"/>
        <v>-</v>
      </c>
      <c r="H27" s="11" t="str">
        <f>IF(COUNTIF(Base!A:A,Gestão!C27)=0,"-",COUNTIF(Base!A:A,Gestão!C27))</f>
        <v>-</v>
      </c>
      <c r="I27" s="14" t="str">
        <f t="shared" si="4"/>
        <v>-</v>
      </c>
      <c r="J27" s="11">
        <v>3</v>
      </c>
      <c r="K27" s="11" t="str">
        <f>IFERROR(VLOOKUP(J27,Base!T:W,2,0),"-")</f>
        <v>-</v>
      </c>
      <c r="L27" s="12" t="str">
        <f>IFERROR(VLOOKUP(K27,Base!U:X,2,0)*O27,"-")</f>
        <v>-</v>
      </c>
      <c r="M27" s="12" t="str">
        <f>IFERROR(VLOOKUP(J27,Base!T:W,4,0),"-")</f>
        <v>-</v>
      </c>
      <c r="N27" s="13" t="str">
        <f t="shared" si="5"/>
        <v>-</v>
      </c>
      <c r="O27" s="11" t="str">
        <f>IF(COUNTIF(Base!T:T,Gestão!J27)=0,"-",COUNTIF(Base!T:T,Gestão!J27))</f>
        <v>-</v>
      </c>
      <c r="P27" s="16" t="str">
        <f>IFERROR(O27+(ROW(O27)/100),"-")</f>
        <v>-</v>
      </c>
      <c r="Q27" s="17"/>
    </row>
    <row r="28" spans="1:17" ht="16.5" thickTop="1" thickBot="1" x14ac:dyDescent="0.3">
      <c r="A28" s="14" t="str">
        <f t="shared" si="1"/>
        <v>-</v>
      </c>
      <c r="B28" s="16" t="str">
        <f t="shared" si="2"/>
        <v>-</v>
      </c>
      <c r="C28" s="11">
        <v>4</v>
      </c>
      <c r="D28" s="11" t="str">
        <f>IFERROR(VLOOKUP($C28,Base!A:B,2,0),"-")</f>
        <v>-</v>
      </c>
      <c r="E28" s="12" t="str">
        <f>IFERROR(VLOOKUP(C28,Base!A:D,4,0)*H28,"-")</f>
        <v>-</v>
      </c>
      <c r="F28" s="12" t="str">
        <f>IFERROR(VLOOKUP(C28,Base!A:E,5,0),"-")</f>
        <v>-</v>
      </c>
      <c r="G28" s="13" t="str">
        <f t="shared" si="3"/>
        <v>-</v>
      </c>
      <c r="H28" s="11" t="str">
        <f>IF(COUNTIF(Base!A:A,Gestão!C28)=0,"-",COUNTIF(Base!A:A,Gestão!C28))</f>
        <v>-</v>
      </c>
      <c r="I28" s="14" t="str">
        <f t="shared" si="4"/>
        <v>-</v>
      </c>
      <c r="J28" s="11">
        <v>4</v>
      </c>
      <c r="K28" s="11" t="str">
        <f>IFERROR(VLOOKUP(J28,Base!T:W,2,0),"-")</f>
        <v>-</v>
      </c>
      <c r="L28" s="12" t="str">
        <f>IFERROR(VLOOKUP(K28,Base!U:X,2,0)*O28,"-")</f>
        <v>-</v>
      </c>
      <c r="M28" s="12" t="str">
        <f>IFERROR(VLOOKUP(J28,Base!T:W,4,0),"-")</f>
        <v>-</v>
      </c>
      <c r="N28" s="13" t="str">
        <f t="shared" si="5"/>
        <v>-</v>
      </c>
      <c r="O28" s="11" t="str">
        <f>IF(COUNTIF(Base!T:T,Gestão!J28)=0,"-",COUNTIF(Base!T:T,Gestão!J28))</f>
        <v>-</v>
      </c>
      <c r="P28" s="16" t="str">
        <f t="shared" ref="P28:P44" si="6">IFERROR(O28+(ROW(O28)/100),"-")</f>
        <v>-</v>
      </c>
      <c r="Q28" s="17"/>
    </row>
    <row r="29" spans="1:17" ht="16.5" thickTop="1" thickBot="1" x14ac:dyDescent="0.3">
      <c r="A29" s="14" t="str">
        <f t="shared" si="1"/>
        <v>-</v>
      </c>
      <c r="B29" s="16" t="str">
        <f t="shared" si="2"/>
        <v>-</v>
      </c>
      <c r="C29" s="11">
        <v>5</v>
      </c>
      <c r="D29" s="11" t="str">
        <f>IFERROR(VLOOKUP($C29,Base!A:B,2,0),"-")</f>
        <v>-</v>
      </c>
      <c r="E29" s="12" t="str">
        <f>IFERROR(VLOOKUP(C29,Base!A:D,4,0)*H29,"-")</f>
        <v>-</v>
      </c>
      <c r="F29" s="12" t="str">
        <f>IFERROR(VLOOKUP(C29,Base!A:E,5,0),"-")</f>
        <v>-</v>
      </c>
      <c r="G29" s="13" t="str">
        <f t="shared" si="3"/>
        <v>-</v>
      </c>
      <c r="H29" s="11" t="str">
        <f>IF(COUNTIF(Base!A:A,Gestão!C29)=0,"-",COUNTIF(Base!A:A,Gestão!C29))</f>
        <v>-</v>
      </c>
      <c r="I29" s="14" t="str">
        <f t="shared" si="4"/>
        <v>-</v>
      </c>
      <c r="J29" s="11">
        <v>5</v>
      </c>
      <c r="K29" s="11" t="str">
        <f>IFERROR(VLOOKUP(J29,Base!T:W,2,0),"-")</f>
        <v>-</v>
      </c>
      <c r="L29" s="12" t="str">
        <f>IFERROR(VLOOKUP(K29,Base!U:X,2,0)*O29,"-")</f>
        <v>-</v>
      </c>
      <c r="M29" s="12" t="str">
        <f>IFERROR(VLOOKUP(J29,Base!T:W,4,0),"-")</f>
        <v>-</v>
      </c>
      <c r="N29" s="13" t="str">
        <f t="shared" si="5"/>
        <v>-</v>
      </c>
      <c r="O29" s="11" t="str">
        <f>IF(COUNTIF(Base!T:T,Gestão!J29)=0,"-",COUNTIF(Base!T:T,Gestão!J29))</f>
        <v>-</v>
      </c>
      <c r="P29" s="16" t="str">
        <f t="shared" si="6"/>
        <v>-</v>
      </c>
      <c r="Q29" s="17"/>
    </row>
    <row r="30" spans="1:17" ht="16.5" thickTop="1" thickBot="1" x14ac:dyDescent="0.3">
      <c r="A30" s="14" t="str">
        <f t="shared" si="1"/>
        <v>-</v>
      </c>
      <c r="B30" s="16" t="str">
        <f t="shared" si="2"/>
        <v>-</v>
      </c>
      <c r="C30" s="11">
        <v>6</v>
      </c>
      <c r="D30" s="11" t="str">
        <f>IFERROR(VLOOKUP($C30,Base!A:B,2,0),"-")</f>
        <v>-</v>
      </c>
      <c r="E30" s="12" t="str">
        <f>IFERROR(VLOOKUP(C30,Base!A:D,4,0)*H30,"-")</f>
        <v>-</v>
      </c>
      <c r="F30" s="12" t="str">
        <f>IFERROR(VLOOKUP(C30,Base!A:E,5,0),"-")</f>
        <v>-</v>
      </c>
      <c r="G30" s="13" t="str">
        <f t="shared" si="3"/>
        <v>-</v>
      </c>
      <c r="H30" s="11" t="str">
        <f>IF(COUNTIF(Base!A:A,Gestão!C30)=0,"-",COUNTIF(Base!A:A,Gestão!C30))</f>
        <v>-</v>
      </c>
      <c r="I30" s="14" t="str">
        <f t="shared" si="4"/>
        <v>-</v>
      </c>
      <c r="J30" s="11">
        <v>6</v>
      </c>
      <c r="K30" s="11" t="str">
        <f>IFERROR(VLOOKUP(J30,Base!T:W,2,0),"-")</f>
        <v>-</v>
      </c>
      <c r="L30" s="12" t="str">
        <f>IFERROR(VLOOKUP(K30,Base!U:X,2,0)*O30,"-")</f>
        <v>-</v>
      </c>
      <c r="M30" s="12" t="str">
        <f>IFERROR(VLOOKUP(J30,Base!T:W,4,0),"-")</f>
        <v>-</v>
      </c>
      <c r="N30" s="13" t="str">
        <f t="shared" si="5"/>
        <v>-</v>
      </c>
      <c r="O30" s="11" t="str">
        <f>IF(COUNTIF(Base!T:T,Gestão!J30)=0,"-",COUNTIF(Base!T:T,Gestão!J30))</f>
        <v>-</v>
      </c>
      <c r="P30" s="16" t="str">
        <f t="shared" si="6"/>
        <v>-</v>
      </c>
      <c r="Q30" s="17"/>
    </row>
    <row r="31" spans="1:17" ht="16.5" thickTop="1" thickBot="1" x14ac:dyDescent="0.3">
      <c r="A31" s="14" t="str">
        <f t="shared" si="1"/>
        <v>-</v>
      </c>
      <c r="B31" s="16" t="str">
        <f t="shared" si="2"/>
        <v>-</v>
      </c>
      <c r="C31" s="11">
        <v>7</v>
      </c>
      <c r="D31" s="11" t="str">
        <f>IFERROR(VLOOKUP($C31,Base!A:B,2,0),"-")</f>
        <v>-</v>
      </c>
      <c r="E31" s="12" t="str">
        <f>IFERROR(VLOOKUP(C31,Base!A:D,4,0)*H31,"-")</f>
        <v>-</v>
      </c>
      <c r="F31" s="12" t="str">
        <f>IFERROR(VLOOKUP(C31,Base!A:E,5,0),"-")</f>
        <v>-</v>
      </c>
      <c r="G31" s="13" t="str">
        <f t="shared" si="3"/>
        <v>-</v>
      </c>
      <c r="H31" s="11" t="str">
        <f>IF(COUNTIF(Base!A:A,Gestão!C31)=0,"-",COUNTIF(Base!A:A,Gestão!C31))</f>
        <v>-</v>
      </c>
      <c r="I31" s="14" t="str">
        <f t="shared" si="4"/>
        <v>-</v>
      </c>
      <c r="J31" s="11">
        <v>7</v>
      </c>
      <c r="K31" s="11" t="str">
        <f>IFERROR(VLOOKUP(J31,Base!T:W,2,0),"-")</f>
        <v>-</v>
      </c>
      <c r="L31" s="12" t="str">
        <f>IFERROR(VLOOKUP(K31,Base!U:X,2,0)*O31,"-")</f>
        <v>-</v>
      </c>
      <c r="M31" s="12" t="str">
        <f>IFERROR(VLOOKUP(J31,Base!T:W,4,0),"-")</f>
        <v>-</v>
      </c>
      <c r="N31" s="13" t="str">
        <f t="shared" si="5"/>
        <v>-</v>
      </c>
      <c r="O31" s="11" t="str">
        <f>IF(COUNTIF(Base!T:T,Gestão!J31)=0,"-",COUNTIF(Base!T:T,Gestão!J31))</f>
        <v>-</v>
      </c>
      <c r="P31" s="16" t="str">
        <f t="shared" si="6"/>
        <v>-</v>
      </c>
      <c r="Q31" s="17"/>
    </row>
    <row r="32" spans="1:17" ht="16.5" thickTop="1" thickBot="1" x14ac:dyDescent="0.3">
      <c r="A32" s="14" t="str">
        <f t="shared" si="1"/>
        <v>-</v>
      </c>
      <c r="B32" s="16" t="str">
        <f t="shared" si="2"/>
        <v>-</v>
      </c>
      <c r="C32" s="11">
        <v>8</v>
      </c>
      <c r="D32" s="11" t="str">
        <f>IFERROR(VLOOKUP($C32,Base!A:B,2,0),"-")</f>
        <v>-</v>
      </c>
      <c r="E32" s="12" t="str">
        <f>IFERROR(VLOOKUP(C32,Base!A:D,4,0)*H32,"-")</f>
        <v>-</v>
      </c>
      <c r="F32" s="12" t="str">
        <f>IFERROR(VLOOKUP(C32,Base!A:E,5,0),"-")</f>
        <v>-</v>
      </c>
      <c r="G32" s="13" t="str">
        <f t="shared" si="3"/>
        <v>-</v>
      </c>
      <c r="H32" s="11" t="str">
        <f>IF(COUNTIF(Base!A:A,Gestão!C32)=0,"-",COUNTIF(Base!A:A,Gestão!C32))</f>
        <v>-</v>
      </c>
      <c r="I32" s="14" t="str">
        <f t="shared" si="4"/>
        <v>-</v>
      </c>
      <c r="J32" s="11">
        <v>8</v>
      </c>
      <c r="K32" s="11" t="str">
        <f>IFERROR(VLOOKUP(J32,Base!T:W,2,0),"-")</f>
        <v>-</v>
      </c>
      <c r="L32" s="12" t="str">
        <f>IFERROR(VLOOKUP(K32,Base!U:X,2,0)*O32,"-")</f>
        <v>-</v>
      </c>
      <c r="M32" s="12" t="str">
        <f>IFERROR(VLOOKUP(J32,Base!T:W,4,0),"-")</f>
        <v>-</v>
      </c>
      <c r="N32" s="13" t="str">
        <f t="shared" si="5"/>
        <v>-</v>
      </c>
      <c r="O32" s="11" t="str">
        <f>IF(COUNTIF(Base!T:T,Gestão!J32)=0,"-",COUNTIF(Base!T:T,Gestão!J32))</f>
        <v>-</v>
      </c>
      <c r="P32" s="16" t="str">
        <f t="shared" si="6"/>
        <v>-</v>
      </c>
      <c r="Q32" s="17"/>
    </row>
    <row r="33" spans="1:17" ht="16.5" thickTop="1" thickBot="1" x14ac:dyDescent="0.3">
      <c r="A33" s="14" t="str">
        <f t="shared" si="1"/>
        <v>-</v>
      </c>
      <c r="B33" s="16" t="str">
        <f t="shared" si="2"/>
        <v>-</v>
      </c>
      <c r="C33" s="11">
        <v>9</v>
      </c>
      <c r="D33" s="11" t="str">
        <f>IFERROR(VLOOKUP($C33,Base!A:B,2,0),"-")</f>
        <v>-</v>
      </c>
      <c r="E33" s="12" t="str">
        <f>IFERROR(VLOOKUP(C33,Base!A:D,4,0)*H33,"-")</f>
        <v>-</v>
      </c>
      <c r="F33" s="12" t="str">
        <f>IFERROR(VLOOKUP(C33,Base!A:E,5,0),"-")</f>
        <v>-</v>
      </c>
      <c r="G33" s="13" t="str">
        <f t="shared" si="3"/>
        <v>-</v>
      </c>
      <c r="H33" s="11" t="str">
        <f>IF(COUNTIF(Base!A:A,Gestão!C33)=0,"-",COUNTIF(Base!A:A,Gestão!C33))</f>
        <v>-</v>
      </c>
      <c r="I33" s="14" t="str">
        <f t="shared" si="4"/>
        <v>-</v>
      </c>
      <c r="J33" s="11">
        <v>9</v>
      </c>
      <c r="K33" s="11" t="str">
        <f>IFERROR(VLOOKUP(J33,Base!T:W,2,0),"-")</f>
        <v>-</v>
      </c>
      <c r="L33" s="12" t="str">
        <f>IFERROR(VLOOKUP(K33,Base!U:X,2,0)*O33,"-")</f>
        <v>-</v>
      </c>
      <c r="M33" s="12" t="str">
        <f>IFERROR(VLOOKUP(J33,Base!T:W,4,0),"-")</f>
        <v>-</v>
      </c>
      <c r="N33" s="13" t="str">
        <f t="shared" si="5"/>
        <v>-</v>
      </c>
      <c r="O33" s="11" t="str">
        <f>IF(COUNTIF(Base!T:T,Gestão!J33)=0,"-",COUNTIF(Base!T:T,Gestão!J33))</f>
        <v>-</v>
      </c>
      <c r="P33" s="16" t="str">
        <f t="shared" si="6"/>
        <v>-</v>
      </c>
      <c r="Q33" s="17"/>
    </row>
    <row r="34" spans="1:17" ht="16.5" thickTop="1" thickBot="1" x14ac:dyDescent="0.3">
      <c r="A34" s="14" t="str">
        <f t="shared" si="1"/>
        <v>-</v>
      </c>
      <c r="B34" s="16" t="str">
        <f t="shared" si="2"/>
        <v>-</v>
      </c>
      <c r="C34" s="11">
        <v>10</v>
      </c>
      <c r="D34" s="11" t="str">
        <f>IFERROR(VLOOKUP($C34,Base!A:B,2,0),"-")</f>
        <v>-</v>
      </c>
      <c r="E34" s="12" t="str">
        <f>IFERROR(VLOOKUP(C34,Base!A:D,4,0)*H34,"-")</f>
        <v>-</v>
      </c>
      <c r="F34" s="12" t="str">
        <f>IFERROR(VLOOKUP(C34,Base!A:E,5,0),"-")</f>
        <v>-</v>
      </c>
      <c r="G34" s="13" t="str">
        <f t="shared" si="3"/>
        <v>-</v>
      </c>
      <c r="H34" s="11" t="str">
        <f>IF(COUNTIF(Base!A:A,Gestão!C34)=0,"-",COUNTIF(Base!A:A,Gestão!C34))</f>
        <v>-</v>
      </c>
      <c r="I34" s="14" t="str">
        <f t="shared" si="4"/>
        <v>-</v>
      </c>
      <c r="J34" s="11">
        <v>10</v>
      </c>
      <c r="K34" s="11" t="str">
        <f>IFERROR(VLOOKUP(J34,Base!T:W,2,0),"-")</f>
        <v>-</v>
      </c>
      <c r="L34" s="12" t="str">
        <f>IFERROR(VLOOKUP(K34,Base!U:X,2,0)*O34,"-")</f>
        <v>-</v>
      </c>
      <c r="M34" s="12" t="str">
        <f>IFERROR(VLOOKUP(J34,Base!T:W,4,0),"-")</f>
        <v>-</v>
      </c>
      <c r="N34" s="13" t="str">
        <f t="shared" si="5"/>
        <v>-</v>
      </c>
      <c r="O34" s="11" t="str">
        <f>IF(COUNTIF(Base!T:T,Gestão!J34)=0,"-",COUNTIF(Base!T:T,Gestão!J34))</f>
        <v>-</v>
      </c>
      <c r="P34" s="16" t="str">
        <f t="shared" si="6"/>
        <v>-</v>
      </c>
      <c r="Q34" s="17"/>
    </row>
    <row r="35" spans="1:17" ht="16.5" thickTop="1" thickBot="1" x14ac:dyDescent="0.3">
      <c r="A35" s="14" t="str">
        <f t="shared" si="1"/>
        <v>-</v>
      </c>
      <c r="B35" s="16" t="str">
        <f t="shared" si="2"/>
        <v>-</v>
      </c>
      <c r="C35" s="11">
        <v>11</v>
      </c>
      <c r="D35" s="11" t="str">
        <f>IFERROR(VLOOKUP($C35,Base!A:B,2,0),"-")</f>
        <v>-</v>
      </c>
      <c r="E35" s="12" t="str">
        <f>IFERROR(VLOOKUP(C35,Base!A:D,4,0)*H35,"-")</f>
        <v>-</v>
      </c>
      <c r="F35" s="12" t="str">
        <f>IFERROR(VLOOKUP(C35,Base!A:E,5,0),"-")</f>
        <v>-</v>
      </c>
      <c r="G35" s="13" t="str">
        <f t="shared" si="3"/>
        <v>-</v>
      </c>
      <c r="H35" s="11" t="str">
        <f>IF(COUNTIF(Base!A:A,Gestão!C35)=0,"-",COUNTIF(Base!A:A,Gestão!C35))</f>
        <v>-</v>
      </c>
      <c r="I35" s="14" t="str">
        <f t="shared" si="4"/>
        <v>-</v>
      </c>
      <c r="J35" s="11">
        <v>11</v>
      </c>
      <c r="K35" s="11" t="str">
        <f>IFERROR(VLOOKUP(J35,Base!T:W,2,0),"-")</f>
        <v>-</v>
      </c>
      <c r="L35" s="12" t="str">
        <f>IFERROR(VLOOKUP(K35,Base!U:X,2,0)*O35,"-")</f>
        <v>-</v>
      </c>
      <c r="M35" s="12" t="str">
        <f>IFERROR(VLOOKUP(J35,Base!T:W,4,0),"-")</f>
        <v>-</v>
      </c>
      <c r="N35" s="13" t="str">
        <f t="shared" si="5"/>
        <v>-</v>
      </c>
      <c r="O35" s="11" t="str">
        <f>IF(COUNTIF(Base!T:T,Gestão!J35)=0,"-",COUNTIF(Base!T:T,Gestão!J35))</f>
        <v>-</v>
      </c>
      <c r="P35" s="16" t="str">
        <f t="shared" si="6"/>
        <v>-</v>
      </c>
      <c r="Q35" s="17"/>
    </row>
    <row r="36" spans="1:17" ht="16.5" thickTop="1" thickBot="1" x14ac:dyDescent="0.3">
      <c r="A36" s="14" t="str">
        <f t="shared" si="1"/>
        <v>-</v>
      </c>
      <c r="B36" s="16" t="str">
        <f t="shared" si="2"/>
        <v>-</v>
      </c>
      <c r="C36" s="11">
        <v>12</v>
      </c>
      <c r="D36" s="11" t="str">
        <f>IFERROR(VLOOKUP($C36,Base!A:B,2,0),"-")</f>
        <v>-</v>
      </c>
      <c r="E36" s="12" t="str">
        <f>IFERROR(VLOOKUP(C36,Base!A:D,4,0)*H36,"-")</f>
        <v>-</v>
      </c>
      <c r="F36" s="12" t="str">
        <f>IFERROR(VLOOKUP(C36,Base!A:E,5,0),"-")</f>
        <v>-</v>
      </c>
      <c r="G36" s="13" t="str">
        <f t="shared" si="3"/>
        <v>-</v>
      </c>
      <c r="H36" s="11" t="str">
        <f>IF(COUNTIF(Base!A:A,Gestão!C36)=0,"-",COUNTIF(Base!A:A,Gestão!C36))</f>
        <v>-</v>
      </c>
      <c r="I36" s="14" t="str">
        <f t="shared" si="4"/>
        <v>-</v>
      </c>
      <c r="J36" s="11">
        <v>12</v>
      </c>
      <c r="K36" s="11" t="str">
        <f>IFERROR(VLOOKUP(J36,Base!T:W,2,0),"-")</f>
        <v>-</v>
      </c>
      <c r="L36" s="12" t="str">
        <f>IFERROR(VLOOKUP(K36,Base!U:X,2,0)*O36,"-")</f>
        <v>-</v>
      </c>
      <c r="M36" s="12" t="str">
        <f>IFERROR(VLOOKUP(J36,Base!T:W,4,0),"-")</f>
        <v>-</v>
      </c>
      <c r="N36" s="13" t="str">
        <f t="shared" si="5"/>
        <v>-</v>
      </c>
      <c r="O36" s="11" t="str">
        <f>IF(COUNTIF(Base!T:T,Gestão!J36)=0,"-",COUNTIF(Base!T:T,Gestão!J36))</f>
        <v>-</v>
      </c>
      <c r="P36" s="16" t="str">
        <f t="shared" si="6"/>
        <v>-</v>
      </c>
      <c r="Q36" s="17"/>
    </row>
    <row r="37" spans="1:17" ht="16.5" thickTop="1" thickBot="1" x14ac:dyDescent="0.3">
      <c r="A37" s="14" t="str">
        <f t="shared" si="1"/>
        <v>-</v>
      </c>
      <c r="B37" s="16" t="str">
        <f t="shared" si="2"/>
        <v>-</v>
      </c>
      <c r="C37" s="11">
        <v>13</v>
      </c>
      <c r="D37" s="11" t="str">
        <f>IFERROR(VLOOKUP($C37,Base!A:B,2,0),"-")</f>
        <v>-</v>
      </c>
      <c r="E37" s="12" t="str">
        <f>IFERROR(VLOOKUP(C37,Base!A:D,4,0)*H37,"-")</f>
        <v>-</v>
      </c>
      <c r="F37" s="12" t="str">
        <f>IFERROR(VLOOKUP(C37,Base!A:E,5,0),"-")</f>
        <v>-</v>
      </c>
      <c r="G37" s="13" t="str">
        <f t="shared" si="3"/>
        <v>-</v>
      </c>
      <c r="H37" s="11" t="str">
        <f>IF(COUNTIF(Base!A:A,Gestão!C37)=0,"-",COUNTIF(Base!A:A,Gestão!C37))</f>
        <v>-</v>
      </c>
      <c r="I37" s="14" t="str">
        <f t="shared" si="4"/>
        <v>-</v>
      </c>
      <c r="J37" s="11">
        <v>13</v>
      </c>
      <c r="K37" s="11" t="str">
        <f>IFERROR(VLOOKUP(J37,Base!T:W,2,0),"-")</f>
        <v>-</v>
      </c>
      <c r="L37" s="12" t="str">
        <f>IFERROR(VLOOKUP(K37,Base!U:X,2,0)*O37,"-")</f>
        <v>-</v>
      </c>
      <c r="M37" s="12" t="str">
        <f>IFERROR(VLOOKUP(J37,Base!T:W,4,0),"-")</f>
        <v>-</v>
      </c>
      <c r="N37" s="13" t="str">
        <f t="shared" si="5"/>
        <v>-</v>
      </c>
      <c r="O37" s="11" t="str">
        <f>IF(COUNTIF(Base!T:T,Gestão!J37)=0,"-",COUNTIF(Base!T:T,Gestão!J37))</f>
        <v>-</v>
      </c>
      <c r="P37" s="16" t="str">
        <f t="shared" si="6"/>
        <v>-</v>
      </c>
      <c r="Q37" s="17"/>
    </row>
    <row r="38" spans="1:17" ht="16.5" thickTop="1" thickBot="1" x14ac:dyDescent="0.3">
      <c r="A38" s="14" t="str">
        <f t="shared" si="1"/>
        <v>-</v>
      </c>
      <c r="B38" s="16" t="str">
        <f t="shared" si="2"/>
        <v>-</v>
      </c>
      <c r="C38" s="11">
        <v>14</v>
      </c>
      <c r="D38" s="11" t="str">
        <f>IFERROR(VLOOKUP($C38,Base!A:B,2,0),"-")</f>
        <v>-</v>
      </c>
      <c r="E38" s="12" t="str">
        <f>IFERROR(VLOOKUP(C38,Base!A:D,4,0)*H38,"-")</f>
        <v>-</v>
      </c>
      <c r="F38" s="12" t="str">
        <f>IFERROR(VLOOKUP(C38,Base!A:E,5,0),"-")</f>
        <v>-</v>
      </c>
      <c r="G38" s="13" t="str">
        <f t="shared" si="3"/>
        <v>-</v>
      </c>
      <c r="H38" s="11" t="str">
        <f>IF(COUNTIF(Base!A:A,Gestão!C38)=0,"-",COUNTIF(Base!A:A,Gestão!C38))</f>
        <v>-</v>
      </c>
      <c r="I38" s="14" t="str">
        <f t="shared" si="4"/>
        <v>-</v>
      </c>
      <c r="J38" s="11">
        <v>14</v>
      </c>
      <c r="K38" s="11" t="str">
        <f>IFERROR(VLOOKUP(J38,Base!T:W,2,0),"-")</f>
        <v>-</v>
      </c>
      <c r="L38" s="12" t="str">
        <f>IFERROR(VLOOKUP(K38,Base!U:X,2,0)*O38,"-")</f>
        <v>-</v>
      </c>
      <c r="M38" s="12" t="str">
        <f>IFERROR(VLOOKUP(J38,Base!T:W,4,0),"-")</f>
        <v>-</v>
      </c>
      <c r="N38" s="13" t="str">
        <f t="shared" si="5"/>
        <v>-</v>
      </c>
      <c r="O38" s="11" t="str">
        <f>IF(COUNTIF(Base!T:T,Gestão!J38)=0,"-",COUNTIF(Base!T:T,Gestão!J38))</f>
        <v>-</v>
      </c>
      <c r="P38" s="16" t="str">
        <f t="shared" si="6"/>
        <v>-</v>
      </c>
      <c r="Q38" s="17"/>
    </row>
    <row r="39" spans="1:17" ht="16.5" thickTop="1" thickBot="1" x14ac:dyDescent="0.3">
      <c r="A39" s="14" t="str">
        <f t="shared" si="1"/>
        <v>-</v>
      </c>
      <c r="B39" s="16" t="str">
        <f t="shared" si="2"/>
        <v>-</v>
      </c>
      <c r="C39" s="11">
        <v>15</v>
      </c>
      <c r="D39" s="11" t="str">
        <f>IFERROR(VLOOKUP($C39,Base!A:B,2,0),"-")</f>
        <v>-</v>
      </c>
      <c r="E39" s="12" t="str">
        <f>IFERROR(VLOOKUP(C39,Base!A:D,4,0)*H39,"-")</f>
        <v>-</v>
      </c>
      <c r="F39" s="12" t="str">
        <f>IFERROR(VLOOKUP(C39,Base!A:E,5,0),"-")</f>
        <v>-</v>
      </c>
      <c r="G39" s="13" t="str">
        <f t="shared" si="3"/>
        <v>-</v>
      </c>
      <c r="H39" s="11" t="str">
        <f>IF(COUNTIF(Base!A:A,Gestão!C39)=0,"-",COUNTIF(Base!A:A,Gestão!C39))</f>
        <v>-</v>
      </c>
      <c r="I39" s="14" t="str">
        <f t="shared" si="4"/>
        <v>-</v>
      </c>
      <c r="J39" s="11">
        <v>15</v>
      </c>
      <c r="K39" s="11" t="str">
        <f>IFERROR(VLOOKUP(J39,Base!T:W,2,0),"-")</f>
        <v>-</v>
      </c>
      <c r="L39" s="12" t="str">
        <f>IFERROR(VLOOKUP(K39,Base!U:X,2,0)*O39,"-")</f>
        <v>-</v>
      </c>
      <c r="M39" s="12" t="str">
        <f>IFERROR(VLOOKUP(J39,Base!T:W,4,0),"-")</f>
        <v>-</v>
      </c>
      <c r="N39" s="13" t="str">
        <f t="shared" si="5"/>
        <v>-</v>
      </c>
      <c r="O39" s="11" t="str">
        <f>IF(COUNTIF(Base!T:T,Gestão!J39)=0,"-",COUNTIF(Base!T:T,Gestão!J39))</f>
        <v>-</v>
      </c>
      <c r="P39" s="16" t="str">
        <f t="shared" si="6"/>
        <v>-</v>
      </c>
      <c r="Q39" s="17"/>
    </row>
    <row r="40" spans="1:17" ht="16.5" thickTop="1" thickBot="1" x14ac:dyDescent="0.3">
      <c r="A40" s="14" t="str">
        <f t="shared" si="1"/>
        <v>-</v>
      </c>
      <c r="B40" s="16" t="str">
        <f t="shared" si="2"/>
        <v>-</v>
      </c>
      <c r="C40" s="11">
        <v>16</v>
      </c>
      <c r="D40" s="11" t="str">
        <f>IFERROR(VLOOKUP($C40,Base!A:B,2,0),"-")</f>
        <v>-</v>
      </c>
      <c r="E40" s="12" t="str">
        <f>IFERROR(VLOOKUP(C40,Base!A:D,4,0)*H40,"-")</f>
        <v>-</v>
      </c>
      <c r="F40" s="12" t="str">
        <f>IFERROR(VLOOKUP(C40,Base!A:E,5,0),"-")</f>
        <v>-</v>
      </c>
      <c r="G40" s="13" t="str">
        <f t="shared" si="3"/>
        <v>-</v>
      </c>
      <c r="H40" s="11" t="str">
        <f>IF(COUNTIF(Base!A:A,Gestão!C40)=0,"-",COUNTIF(Base!A:A,Gestão!C40))</f>
        <v>-</v>
      </c>
      <c r="I40" s="14" t="str">
        <f t="shared" si="4"/>
        <v>-</v>
      </c>
      <c r="J40" s="11">
        <v>16</v>
      </c>
      <c r="K40" s="11" t="str">
        <f>IFERROR(VLOOKUP(J40,Base!T:W,2,0),"-")</f>
        <v>-</v>
      </c>
      <c r="L40" s="12" t="str">
        <f>IFERROR(VLOOKUP(K40,Base!U:X,2,0)*O40,"-")</f>
        <v>-</v>
      </c>
      <c r="M40" s="12" t="str">
        <f>IFERROR(VLOOKUP(J40,Base!T:W,4,0),"-")</f>
        <v>-</v>
      </c>
      <c r="N40" s="13" t="str">
        <f t="shared" si="5"/>
        <v>-</v>
      </c>
      <c r="O40" s="11" t="str">
        <f>IF(COUNTIF(Base!T:T,Gestão!J40)=0,"-",COUNTIF(Base!T:T,Gestão!J40))</f>
        <v>-</v>
      </c>
      <c r="P40" s="16" t="str">
        <f t="shared" si="6"/>
        <v>-</v>
      </c>
      <c r="Q40" s="17"/>
    </row>
    <row r="41" spans="1:17" ht="16.5" thickTop="1" thickBot="1" x14ac:dyDescent="0.3">
      <c r="A41" s="14" t="str">
        <f t="shared" si="1"/>
        <v>-</v>
      </c>
      <c r="B41" s="16" t="str">
        <f t="shared" si="2"/>
        <v>-</v>
      </c>
      <c r="C41" s="11">
        <v>17</v>
      </c>
      <c r="D41" s="11" t="str">
        <f>IFERROR(VLOOKUP($C41,Base!A:B,2,0),"-")</f>
        <v>-</v>
      </c>
      <c r="E41" s="12" t="str">
        <f>IFERROR(VLOOKUP(C41,Base!A:D,4,0)*H41,"-")</f>
        <v>-</v>
      </c>
      <c r="F41" s="12" t="str">
        <f>IFERROR(VLOOKUP(C41,Base!A:E,5,0),"-")</f>
        <v>-</v>
      </c>
      <c r="G41" s="13" t="str">
        <f t="shared" si="3"/>
        <v>-</v>
      </c>
      <c r="H41" s="11" t="str">
        <f>IF(COUNTIF(Base!A:A,Gestão!C41)=0,"-",COUNTIF(Base!A:A,Gestão!C41))</f>
        <v>-</v>
      </c>
      <c r="I41" s="14" t="str">
        <f t="shared" si="4"/>
        <v>-</v>
      </c>
      <c r="J41" s="11">
        <v>17</v>
      </c>
      <c r="K41" s="11" t="str">
        <f>IFERROR(VLOOKUP(J41,Base!T:W,2,0),"-")</f>
        <v>-</v>
      </c>
      <c r="L41" s="12" t="str">
        <f>IFERROR(VLOOKUP(K41,Base!U:X,2,0)*O41,"-")</f>
        <v>-</v>
      </c>
      <c r="M41" s="12" t="str">
        <f>IFERROR(VLOOKUP(J41,Base!T:W,4,0),"-")</f>
        <v>-</v>
      </c>
      <c r="N41" s="13" t="str">
        <f t="shared" si="5"/>
        <v>-</v>
      </c>
      <c r="O41" s="11" t="str">
        <f>IF(COUNTIF(Base!T:T,Gestão!J41)=0,"-",COUNTIF(Base!T:T,Gestão!J41))</f>
        <v>-</v>
      </c>
      <c r="P41" s="16" t="str">
        <f t="shared" si="6"/>
        <v>-</v>
      </c>
      <c r="Q41" s="17"/>
    </row>
    <row r="42" spans="1:17" ht="16.5" thickTop="1" thickBot="1" x14ac:dyDescent="0.3">
      <c r="A42" s="14" t="str">
        <f t="shared" si="1"/>
        <v>-</v>
      </c>
      <c r="B42" s="16" t="str">
        <f t="shared" si="2"/>
        <v>-</v>
      </c>
      <c r="C42" s="11">
        <v>18</v>
      </c>
      <c r="D42" s="11" t="str">
        <f>IFERROR(VLOOKUP($C42,Base!A:B,2,0),"-")</f>
        <v>-</v>
      </c>
      <c r="E42" s="12" t="str">
        <f>IFERROR(VLOOKUP(C42,Base!A:D,4,0)*H42,"-")</f>
        <v>-</v>
      </c>
      <c r="F42" s="12" t="str">
        <f>IFERROR(VLOOKUP(C42,Base!A:E,5,0),"-")</f>
        <v>-</v>
      </c>
      <c r="G42" s="13" t="str">
        <f t="shared" si="3"/>
        <v>-</v>
      </c>
      <c r="H42" s="11" t="str">
        <f>IF(COUNTIF(Base!A:A,Gestão!C42)=0,"-",COUNTIF(Base!A:A,Gestão!C42))</f>
        <v>-</v>
      </c>
      <c r="I42" s="14" t="str">
        <f t="shared" si="4"/>
        <v>-</v>
      </c>
      <c r="J42" s="11">
        <v>18</v>
      </c>
      <c r="K42" s="11" t="str">
        <f>IFERROR(VLOOKUP(J42,Base!T:W,2,0),"-")</f>
        <v>-</v>
      </c>
      <c r="L42" s="12" t="str">
        <f>IFERROR(VLOOKUP(K42,Base!U:X,2,0)*O42,"-")</f>
        <v>-</v>
      </c>
      <c r="M42" s="12" t="str">
        <f>IFERROR(VLOOKUP(J42,Base!T:W,4,0),"-")</f>
        <v>-</v>
      </c>
      <c r="N42" s="13" t="str">
        <f t="shared" si="5"/>
        <v>-</v>
      </c>
      <c r="O42" s="11" t="str">
        <f>IF(COUNTIF(Base!T:T,Gestão!J42)=0,"-",COUNTIF(Base!T:T,Gestão!J42))</f>
        <v>-</v>
      </c>
      <c r="P42" s="16" t="str">
        <f t="shared" si="6"/>
        <v>-</v>
      </c>
      <c r="Q42" s="17"/>
    </row>
    <row r="43" spans="1:17" ht="16.5" thickTop="1" thickBot="1" x14ac:dyDescent="0.3">
      <c r="A43" s="14" t="str">
        <f t="shared" si="1"/>
        <v>-</v>
      </c>
      <c r="B43" s="16" t="str">
        <f t="shared" si="2"/>
        <v>-</v>
      </c>
      <c r="C43" s="11">
        <v>19</v>
      </c>
      <c r="D43" s="11" t="str">
        <f>IFERROR(VLOOKUP($C43,Base!A:B,2,0),"-")</f>
        <v>-</v>
      </c>
      <c r="E43" s="12" t="str">
        <f>IFERROR(VLOOKUP(C43,Base!A:D,4,0)*H43,"-")</f>
        <v>-</v>
      </c>
      <c r="F43" s="12" t="str">
        <f>IFERROR(VLOOKUP(C43,Base!A:E,5,0),"-")</f>
        <v>-</v>
      </c>
      <c r="G43" s="13" t="str">
        <f t="shared" si="3"/>
        <v>-</v>
      </c>
      <c r="H43" s="11" t="str">
        <f>IF(COUNTIF(Base!A:A,Gestão!C43)=0,"-",COUNTIF(Base!A:A,Gestão!C43))</f>
        <v>-</v>
      </c>
      <c r="I43" s="14" t="str">
        <f t="shared" si="4"/>
        <v>-</v>
      </c>
      <c r="J43" s="11">
        <v>19</v>
      </c>
      <c r="K43" s="11" t="str">
        <f>IFERROR(VLOOKUP(J43,Base!T:W,2,0),"-")</f>
        <v>-</v>
      </c>
      <c r="L43" s="12" t="str">
        <f>IFERROR(VLOOKUP(K43,Base!U:X,2,0)*O43,"-")</f>
        <v>-</v>
      </c>
      <c r="M43" s="12" t="str">
        <f>IFERROR(VLOOKUP(J43,Base!T:W,4,0),"-")</f>
        <v>-</v>
      </c>
      <c r="N43" s="13" t="str">
        <f t="shared" si="5"/>
        <v>-</v>
      </c>
      <c r="O43" s="11" t="str">
        <f>IF(COUNTIF(Base!T:T,Gestão!J43)=0,"-",COUNTIF(Base!T:T,Gestão!J43))</f>
        <v>-</v>
      </c>
      <c r="P43" s="16" t="str">
        <f t="shared" si="6"/>
        <v>-</v>
      </c>
      <c r="Q43" s="17"/>
    </row>
    <row r="44" spans="1:17" ht="16.5" thickTop="1" thickBot="1" x14ac:dyDescent="0.3">
      <c r="A44" s="14" t="str">
        <f t="shared" si="1"/>
        <v>-</v>
      </c>
      <c r="B44" s="16" t="str">
        <f t="shared" si="2"/>
        <v>-</v>
      </c>
      <c r="C44" s="11">
        <v>20</v>
      </c>
      <c r="D44" s="11" t="str">
        <f>IFERROR(VLOOKUP($C44,Base!A:B,2,0),"-")</f>
        <v>-</v>
      </c>
      <c r="E44" s="12" t="str">
        <f>IFERROR(VLOOKUP(C44,Base!A:D,4,0)*H44,"-")</f>
        <v>-</v>
      </c>
      <c r="F44" s="12" t="str">
        <f>IFERROR(VLOOKUP(C44,Base!A:E,5,0),"-")</f>
        <v>-</v>
      </c>
      <c r="G44" s="13" t="str">
        <f t="shared" si="3"/>
        <v>-</v>
      </c>
      <c r="H44" s="11" t="str">
        <f>IF(COUNTIF(Base!A:A,Gestão!C44)=0,"-",COUNTIF(Base!A:A,Gestão!C44))</f>
        <v>-</v>
      </c>
      <c r="I44" s="14" t="str">
        <f t="shared" si="4"/>
        <v>-</v>
      </c>
      <c r="J44" s="11">
        <v>20</v>
      </c>
      <c r="K44" s="11" t="str">
        <f>IFERROR(VLOOKUP(J44,Base!T:W,2,0),"-")</f>
        <v>-</v>
      </c>
      <c r="L44" s="12" t="str">
        <f>IFERROR(VLOOKUP(K44,Base!U:X,2,0)*O44,"-")</f>
        <v>-</v>
      </c>
      <c r="M44" s="12" t="str">
        <f>IFERROR(VLOOKUP(J44,Base!T:W,4,0),"-")</f>
        <v>-</v>
      </c>
      <c r="N44" s="13" t="str">
        <f t="shared" si="5"/>
        <v>-</v>
      </c>
      <c r="O44" s="11" t="str">
        <f>IF(COUNTIF(Base!T:T,Gestão!J44)=0,"-",COUNTIF(Base!T:T,Gestão!J44))</f>
        <v>-</v>
      </c>
      <c r="P44" s="16" t="str">
        <f t="shared" si="6"/>
        <v>-</v>
      </c>
      <c r="Q44" s="17"/>
    </row>
    <row r="45" spans="1:17" ht="15.75" thickTop="1" x14ac:dyDescent="0.25"/>
  </sheetData>
  <mergeCells count="13">
    <mergeCell ref="B2:E2"/>
    <mergeCell ref="I2:L2"/>
    <mergeCell ref="B7:C7"/>
    <mergeCell ref="D7:E7"/>
    <mergeCell ref="I8:J8"/>
    <mergeCell ref="K8:L8"/>
    <mergeCell ref="C23:H23"/>
    <mergeCell ref="J23:O23"/>
    <mergeCell ref="C19:O20"/>
    <mergeCell ref="I7:J7"/>
    <mergeCell ref="K7:L7"/>
    <mergeCell ref="B8:C8"/>
    <mergeCell ref="D8:E8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B588-C31A-452C-9624-114CEC82718A}">
  <sheetPr codeName="Planilha2"/>
  <dimension ref="A1:D7"/>
  <sheetViews>
    <sheetView workbookViewId="0">
      <selection activeCell="D2" sqref="D2:D5"/>
    </sheetView>
  </sheetViews>
  <sheetFormatPr defaultRowHeight="15" x14ac:dyDescent="0.25"/>
  <cols>
    <col min="3" max="4" width="18.42578125" bestFit="1" customWidth="1"/>
  </cols>
  <sheetData>
    <row r="1" spans="1:4" ht="18.75" x14ac:dyDescent="0.3">
      <c r="A1" s="1" t="s">
        <v>4</v>
      </c>
      <c r="B1" s="2"/>
      <c r="C1" s="3" t="s">
        <v>2</v>
      </c>
      <c r="D1" s="3" t="s">
        <v>21</v>
      </c>
    </row>
    <row r="2" spans="1:4" ht="15.75" x14ac:dyDescent="0.25">
      <c r="A2" s="4" t="s">
        <v>3</v>
      </c>
      <c r="B2" s="2"/>
      <c r="C2" s="6" t="s">
        <v>0</v>
      </c>
      <c r="D2" s="6" t="s">
        <v>0</v>
      </c>
    </row>
    <row r="3" spans="1:4" ht="15.75" x14ac:dyDescent="0.25">
      <c r="A3" s="2"/>
      <c r="B3" s="2"/>
      <c r="C3" s="6" t="s">
        <v>1</v>
      </c>
      <c r="D3" s="6" t="s">
        <v>22</v>
      </c>
    </row>
    <row r="4" spans="1:4" ht="15.75" x14ac:dyDescent="0.25">
      <c r="A4" s="2"/>
      <c r="B4" s="2"/>
      <c r="C4" s="6" t="s">
        <v>5</v>
      </c>
      <c r="D4" s="6" t="s">
        <v>11</v>
      </c>
    </row>
    <row r="5" spans="1:4" ht="15.75" x14ac:dyDescent="0.25">
      <c r="A5" s="2"/>
      <c r="B5" s="2"/>
      <c r="C5" s="6" t="s">
        <v>11</v>
      </c>
      <c r="D5" s="6" t="s">
        <v>10</v>
      </c>
    </row>
    <row r="6" spans="1:4" ht="15.75" x14ac:dyDescent="0.25">
      <c r="A6" s="2"/>
      <c r="B6" s="2"/>
      <c r="C6" s="6" t="s">
        <v>10</v>
      </c>
    </row>
    <row r="7" spans="1:4" ht="15.75" x14ac:dyDescent="0.25">
      <c r="A7" s="2"/>
      <c r="B7" s="2"/>
      <c r="C7" s="6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68</vt:i4>
      </vt:variant>
    </vt:vector>
  </HeadingPairs>
  <TitlesOfParts>
    <vt:vector size="71" baseType="lpstr">
      <vt:lpstr>Base</vt:lpstr>
      <vt:lpstr>Gestão</vt:lpstr>
      <vt:lpstr>Cabeçalho</vt:lpstr>
      <vt:lpstr>Base!bebidasTexto_1</vt:lpstr>
      <vt:lpstr>Base!bebidasTexto_10</vt:lpstr>
      <vt:lpstr>Base!bebidasTexto_11</vt:lpstr>
      <vt:lpstr>Base!bebidasTexto_12</vt:lpstr>
      <vt:lpstr>Base!bebidasTexto_13</vt:lpstr>
      <vt:lpstr>Base!bebidasTexto_2</vt:lpstr>
      <vt:lpstr>Base!bebidasTexto_3</vt:lpstr>
      <vt:lpstr>Base!bebidasTexto_4</vt:lpstr>
      <vt:lpstr>Base!bebidasTexto_5</vt:lpstr>
      <vt:lpstr>Base!bebidasTexto_6</vt:lpstr>
      <vt:lpstr>Base!bebidasTexto_7</vt:lpstr>
      <vt:lpstr>Base!bebidasTexto_8</vt:lpstr>
      <vt:lpstr>Base!bebidasTexto_9</vt:lpstr>
      <vt:lpstr>Cabeçario</vt:lpstr>
      <vt:lpstr>Codigo</vt:lpstr>
      <vt:lpstr>Nome_do_Arquivo</vt:lpstr>
      <vt:lpstr>Base!pizzasTexto</vt:lpstr>
      <vt:lpstr>Base!pizzasTexto_1</vt:lpstr>
      <vt:lpstr>Base!pizzasTexto_10</vt:lpstr>
      <vt:lpstr>Base!pizzasTexto_11</vt:lpstr>
      <vt:lpstr>Base!pizzasTexto_12</vt:lpstr>
      <vt:lpstr>Base!pizzasTexto_13</vt:lpstr>
      <vt:lpstr>Base!pizzasTexto_14</vt:lpstr>
      <vt:lpstr>Base!pizzasTexto_15</vt:lpstr>
      <vt:lpstr>Base!pizzasTexto_16</vt:lpstr>
      <vt:lpstr>Base!pizzasTexto_17</vt:lpstr>
      <vt:lpstr>Base!pizzasTexto_18</vt:lpstr>
      <vt:lpstr>Base!pizzasTexto_19</vt:lpstr>
      <vt:lpstr>Base!pizzasTexto_2</vt:lpstr>
      <vt:lpstr>Base!pizzasTexto_20</vt:lpstr>
      <vt:lpstr>Base!pizzasTexto_21</vt:lpstr>
      <vt:lpstr>Base!pizzasTexto_22</vt:lpstr>
      <vt:lpstr>Base!pizzasTexto_23</vt:lpstr>
      <vt:lpstr>Base!pizzasTexto_24</vt:lpstr>
      <vt:lpstr>Base!pizzasTexto_25</vt:lpstr>
      <vt:lpstr>Base!pizzasTexto_26</vt:lpstr>
      <vt:lpstr>Base!pizzasTexto_27</vt:lpstr>
      <vt:lpstr>Base!pizzasTexto_28</vt:lpstr>
      <vt:lpstr>Base!pizzasTexto_29</vt:lpstr>
      <vt:lpstr>Base!pizzasTexto_3</vt:lpstr>
      <vt:lpstr>Base!pizzasTexto_30</vt:lpstr>
      <vt:lpstr>Base!pizzasTexto_31</vt:lpstr>
      <vt:lpstr>Base!pizzasTexto_32</vt:lpstr>
      <vt:lpstr>Base!pizzasTexto_33</vt:lpstr>
      <vt:lpstr>Base!pizzasTexto_34</vt:lpstr>
      <vt:lpstr>Base!pizzasTexto_35</vt:lpstr>
      <vt:lpstr>Base!pizzasTexto_36</vt:lpstr>
      <vt:lpstr>Base!pizzasTexto_37</vt:lpstr>
      <vt:lpstr>Base!pizzasTexto_38</vt:lpstr>
      <vt:lpstr>Base!pizzasTexto_39</vt:lpstr>
      <vt:lpstr>Base!pizzasTexto_4</vt:lpstr>
      <vt:lpstr>Base!pizzasTexto_40</vt:lpstr>
      <vt:lpstr>Base!pizzasTexto_41</vt:lpstr>
      <vt:lpstr>Base!pizzasTexto_42</vt:lpstr>
      <vt:lpstr>Base!pizzasTexto_43</vt:lpstr>
      <vt:lpstr>Base!pizzasTexto_44</vt:lpstr>
      <vt:lpstr>Base!pizzasTexto_45</vt:lpstr>
      <vt:lpstr>Base!pizzasTexto_46</vt:lpstr>
      <vt:lpstr>Base!pizzasTexto_47</vt:lpstr>
      <vt:lpstr>Base!pizzasTexto_48</vt:lpstr>
      <vt:lpstr>Base!pizzasTexto_49</vt:lpstr>
      <vt:lpstr>Base!pizzasTexto_5</vt:lpstr>
      <vt:lpstr>Base!pizzasTexto_50</vt:lpstr>
      <vt:lpstr>Base!pizzasTexto_51</vt:lpstr>
      <vt:lpstr>Base!pizzasTexto_6</vt:lpstr>
      <vt:lpstr>Base!pizzasTexto_7</vt:lpstr>
      <vt:lpstr>Base!pizzasTexto_8</vt:lpstr>
      <vt:lpstr>Base!pizzasTexto_9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André Rossner</cp:lastModifiedBy>
  <dcterms:created xsi:type="dcterms:W3CDTF">2019-12-01T06:49:35Z</dcterms:created>
  <dcterms:modified xsi:type="dcterms:W3CDTF">2019-12-03T23:41:37Z</dcterms:modified>
</cp:coreProperties>
</file>